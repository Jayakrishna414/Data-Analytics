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dia/image1.webp" ContentType="image/webp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3"/>
  </bookViews>
  <sheets>
    <sheet name="Sheet11" sheetId="13" r:id="rId1"/>
    <sheet name="Sales_Data_3_Years" sheetId="1" r:id="rId2"/>
    <sheet name="Sheet12" sheetId="14" r:id="rId3"/>
    <sheet name="Sheet1" sheetId="15" r:id="rId4"/>
  </sheets>
  <definedNames>
    <definedName name="Slicer_Product">#N/A</definedName>
    <definedName name="Slicer_Year">#N/A</definedName>
    <definedName name="Slicer_Salesperson4">#N/A</definedName>
    <definedName name="Slicer_Region3">#N/A</definedName>
    <definedName name="Slicer_Product_Category2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<sst xmlns="http://schemas.openxmlformats.org/spreadsheetml/2006/main" count="228" uniqueCount="122">
  <si>
    <t>Year</t>
  </si>
  <si>
    <t>Sum of Total Sales2</t>
  </si>
  <si>
    <t>Region</t>
  </si>
  <si>
    <t>Date</t>
  </si>
  <si>
    <t>Sum of Total Sales</t>
  </si>
  <si>
    <t>South</t>
  </si>
  <si>
    <t>k</t>
  </si>
  <si>
    <t>North</t>
  </si>
  <si>
    <t>Product</t>
  </si>
  <si>
    <t>Grand Total</t>
  </si>
  <si>
    <t>East</t>
  </si>
  <si>
    <t>Salesperson</t>
  </si>
  <si>
    <t>Sum of Units Sold</t>
  </si>
  <si>
    <t>Tablet</t>
  </si>
  <si>
    <t>West</t>
  </si>
  <si>
    <t>Ravi</t>
  </si>
  <si>
    <t>Smartwatch</t>
  </si>
  <si>
    <t>(blank)</t>
  </si>
  <si>
    <t>Anita</t>
  </si>
  <si>
    <t>Bluetooth Speaker</t>
  </si>
  <si>
    <t>Suresh</t>
  </si>
  <si>
    <t>Air Conditioner</t>
  </si>
  <si>
    <t>Neha</t>
  </si>
  <si>
    <t>Camera</t>
  </si>
  <si>
    <t>venu</t>
  </si>
  <si>
    <t>Hari</t>
  </si>
  <si>
    <t>Ramu</t>
  </si>
  <si>
    <t>Mahesh</t>
  </si>
  <si>
    <t>Madhu</t>
  </si>
  <si>
    <t>Ramesh</t>
  </si>
  <si>
    <t>Gopal</t>
  </si>
  <si>
    <t>Sneha</t>
  </si>
  <si>
    <t>Bhargav</t>
  </si>
  <si>
    <t>Sunil</t>
  </si>
  <si>
    <t>Pavani</t>
  </si>
  <si>
    <t>Kumar</t>
  </si>
  <si>
    <t>Shivaji</t>
  </si>
  <si>
    <t>Venkat</t>
  </si>
  <si>
    <t>Ram</t>
  </si>
  <si>
    <t>Malvika</t>
  </si>
  <si>
    <t>Bhegam</t>
  </si>
  <si>
    <t>Somesh</t>
  </si>
  <si>
    <t>Bhavi</t>
  </si>
  <si>
    <t>Reddy</t>
  </si>
  <si>
    <t>Anil</t>
  </si>
  <si>
    <t>Supraja</t>
  </si>
  <si>
    <t>Nehanvi</t>
  </si>
  <si>
    <t>Ravivarma</t>
  </si>
  <si>
    <t>Raju</t>
  </si>
  <si>
    <t>Transaction ID</t>
  </si>
  <si>
    <t>Product Category</t>
  </si>
  <si>
    <t>Units Sold</t>
  </si>
  <si>
    <t>Unit Price</t>
  </si>
  <si>
    <t>Total Cost</t>
  </si>
  <si>
    <t>Profit</t>
  </si>
  <si>
    <t>Sales By Yeras</t>
  </si>
  <si>
    <t>Total Sales</t>
  </si>
  <si>
    <t>001</t>
  </si>
  <si>
    <t>Electronics</t>
  </si>
  <si>
    <t>Smartphone</t>
  </si>
  <si>
    <t>Year=2022</t>
  </si>
  <si>
    <t>002</t>
  </si>
  <si>
    <t>Clothing</t>
  </si>
  <si>
    <t>T-Shirt</t>
  </si>
  <si>
    <t>003</t>
  </si>
  <si>
    <t>Grocery</t>
  </si>
  <si>
    <t>Rice Bag</t>
  </si>
  <si>
    <t>year=2023</t>
  </si>
  <si>
    <t>004</t>
  </si>
  <si>
    <t>Home Appliances</t>
  </si>
  <si>
    <t>Mixer Grinder</t>
  </si>
  <si>
    <t>005</t>
  </si>
  <si>
    <t>Laptop</t>
  </si>
  <si>
    <t>006</t>
  </si>
  <si>
    <t>Jeans</t>
  </si>
  <si>
    <t>year=2024</t>
  </si>
  <si>
    <t>007</t>
  </si>
  <si>
    <t>Cooking Oil</t>
  </si>
  <si>
    <t>008</t>
  </si>
  <si>
    <t>Microwave</t>
  </si>
  <si>
    <t>Avg Sales</t>
  </si>
  <si>
    <t>009</t>
  </si>
  <si>
    <t>010</t>
  </si>
  <si>
    <t>Jacket</t>
  </si>
  <si>
    <t>Total Profit</t>
  </si>
  <si>
    <t>011</t>
  </si>
  <si>
    <t>Sugar</t>
  </si>
  <si>
    <t>012</t>
  </si>
  <si>
    <t>Refrigerator</t>
  </si>
  <si>
    <t>Unit sold</t>
  </si>
  <si>
    <t>013</t>
  </si>
  <si>
    <t>014</t>
  </si>
  <si>
    <t>Saree</t>
  </si>
  <si>
    <t>015</t>
  </si>
  <si>
    <t>Wheat Flour</t>
  </si>
  <si>
    <t>016</t>
  </si>
  <si>
    <t>Headphones</t>
  </si>
  <si>
    <t>017</t>
  </si>
  <si>
    <t>Shoes</t>
  </si>
  <si>
    <t>018</t>
  </si>
  <si>
    <t>Pulses</t>
  </si>
  <si>
    <t>019</t>
  </si>
  <si>
    <t>Iron Box</t>
  </si>
  <si>
    <t>020</t>
  </si>
  <si>
    <t>021</t>
  </si>
  <si>
    <t>Sweater</t>
  </si>
  <si>
    <t>022</t>
  </si>
  <si>
    <t>Tea Powder</t>
  </si>
  <si>
    <t>023</t>
  </si>
  <si>
    <t>024</t>
  </si>
  <si>
    <t>Power Bank</t>
  </si>
  <si>
    <t>025</t>
  </si>
  <si>
    <t>Kurta</t>
  </si>
  <si>
    <t>026</t>
  </si>
  <si>
    <t>Salt</t>
  </si>
  <si>
    <t>027</t>
  </si>
  <si>
    <t>Water Purifier</t>
  </si>
  <si>
    <t>028</t>
  </si>
  <si>
    <t>029</t>
  </si>
  <si>
    <t>Cap</t>
  </si>
  <si>
    <t>030</t>
  </si>
  <si>
    <t>Dry Fruits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</si>
</sst>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180" fontId="0" fillId="0" borderId="0" xfId="0" applyNumberFormat="1"/>
    <xf numFmtId="0" fontId="0" fillId="0" borderId="0" xfId="0" applyNumberFormat="1"/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colors>
    <mruColors>
      <color rgb="000082F0"/>
      <color rgb="0024CF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5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{"Tablet","Smartwatch","Bluetooth Speaker","Air Conditioner","Camera"}</c:f>
              <c:strCache>
                <c:ptCount val="5"/>
                <c:pt idx="0">
                  <c:v>Tablet</c:v>
                </c:pt>
                <c:pt idx="1">
                  <c:v>Smartwatch</c:v>
                </c:pt>
                <c:pt idx="2">
                  <c:v>Bluetooth Speaker</c:v>
                </c:pt>
                <c:pt idx="3">
                  <c:v>Air Conditioner</c:v>
                </c:pt>
                <c:pt idx="4">
                  <c:v>Camera</c:v>
                </c:pt>
              </c:strCache>
            </c:strRef>
          </c:cat>
          <c:val>
            <c:numRef>
              <c:f>{132000,120000,143000,95000,144000}</c:f>
              <c:numCache>
                <c:formatCode>General</c:formatCode>
                <c:ptCount val="5"/>
                <c:pt idx="0">
                  <c:v>132000</c:v>
                </c:pt>
                <c:pt idx="1">
                  <c:v>120000</c:v>
                </c:pt>
                <c:pt idx="2">
                  <c:v>143000</c:v>
                </c:pt>
                <c:pt idx="3">
                  <c:v>95000</c:v>
                </c:pt>
                <c:pt idx="4">
                  <c:v>144000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11660778"/>
        <c:axId val="819939241"/>
      </c:barChart>
      <c:dateAx>
        <c:axId val="61166077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9939241"/>
        <c:crosses val="autoZero"/>
        <c:auto val="1"/>
        <c:lblAlgn val="ctr"/>
        <c:lblOffset val="100"/>
        <c:baseTimeUnit val="days"/>
      </c:dateAx>
      <c:valAx>
        <c:axId val="81993924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166077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c6ddc23-9916-43ab-9160-50ec2623fbb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[Sales_Data_30_Rows.xlsx]Sheet11!PivotTable17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accent1"/>
              </a:solidFill>
              <a:ln>
                <a:noFill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Sheet11!$A$4:$A$8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k</c:v>
                </c:pt>
              </c:strCache>
            </c:strRef>
          </c:cat>
          <c:val>
            <c:numRef>
              <c:f>Sheet11!$B$4:$B$8</c:f>
              <c:numCache>
                <c:formatCode>General</c:formatCode>
                <c:ptCount val="4"/>
                <c:pt idx="0">
                  <c:v>287800</c:v>
                </c:pt>
                <c:pt idx="1">
                  <c:v>637000</c:v>
                </c:pt>
                <c:pt idx="2">
                  <c:v>601200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2703532"/>
        <c:axId val="620972376"/>
      </c:lineChart>
      <c:catAx>
        <c:axId val="2327035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0972376"/>
        <c:crosses val="autoZero"/>
        <c:auto val="1"/>
        <c:lblAlgn val="ctr"/>
        <c:lblOffset val="100"/>
        <c:noMultiLvlLbl val="0"/>
      </c:catAx>
      <c:valAx>
        <c:axId val="6209723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27035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38f5522-a511-4f41-a80e-abb213de79c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[Sales_Data_30_Rows.xlsx]Sheet11!PivotTable29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Sheet11!$N$8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>
              <a:softEdge rad="12700"/>
            </a:effectLst>
          </c:spPr>
          <c:invertIfNegative val="0"/>
          <c:dLbls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Sheet11!$M$9:$M$39</c:f>
              <c:strCache>
                <c:ptCount val="30"/>
                <c:pt idx="0">
                  <c:v>Ravi</c:v>
                </c:pt>
                <c:pt idx="1">
                  <c:v>Anita</c:v>
                </c:pt>
                <c:pt idx="2">
                  <c:v>Suresh</c:v>
                </c:pt>
                <c:pt idx="3">
                  <c:v>Neha</c:v>
                </c:pt>
                <c:pt idx="4">
                  <c:v>venu</c:v>
                </c:pt>
                <c:pt idx="5">
                  <c:v>Hari</c:v>
                </c:pt>
                <c:pt idx="6">
                  <c:v>Ramu</c:v>
                </c:pt>
                <c:pt idx="7">
                  <c:v>Mahesh</c:v>
                </c:pt>
                <c:pt idx="8">
                  <c:v>Madhu</c:v>
                </c:pt>
                <c:pt idx="9">
                  <c:v>Ramesh</c:v>
                </c:pt>
                <c:pt idx="10">
                  <c:v>Gopal</c:v>
                </c:pt>
                <c:pt idx="11">
                  <c:v>Sneha</c:v>
                </c:pt>
                <c:pt idx="12">
                  <c:v>Bhargav</c:v>
                </c:pt>
                <c:pt idx="13">
                  <c:v>Sunil</c:v>
                </c:pt>
                <c:pt idx="14">
                  <c:v>Pavani</c:v>
                </c:pt>
                <c:pt idx="15">
                  <c:v>Kumar</c:v>
                </c:pt>
                <c:pt idx="16">
                  <c:v>Shivaji</c:v>
                </c:pt>
                <c:pt idx="17">
                  <c:v>Venkat</c:v>
                </c:pt>
                <c:pt idx="18">
                  <c:v>Ram</c:v>
                </c:pt>
                <c:pt idx="19">
                  <c:v>Malvika</c:v>
                </c:pt>
                <c:pt idx="20">
                  <c:v>Bhegam</c:v>
                </c:pt>
                <c:pt idx="21">
                  <c:v>Somesh</c:v>
                </c:pt>
                <c:pt idx="22">
                  <c:v>Bhavi</c:v>
                </c:pt>
                <c:pt idx="23">
                  <c:v>Reddy</c:v>
                </c:pt>
                <c:pt idx="24">
                  <c:v>Anil</c:v>
                </c:pt>
                <c:pt idx="25">
                  <c:v>Supraja</c:v>
                </c:pt>
                <c:pt idx="26">
                  <c:v>Nehanvi</c:v>
                </c:pt>
                <c:pt idx="27">
                  <c:v>Ravivarma</c:v>
                </c:pt>
                <c:pt idx="28">
                  <c:v>Raju</c:v>
                </c:pt>
                <c:pt idx="29">
                  <c:v>(blank)</c:v>
                </c:pt>
              </c:strCache>
            </c:strRef>
          </c:cat>
          <c:val>
            <c:numRef>
              <c:f>Sheet11!$N$9:$N$39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11192313"/>
        <c:axId val="563868730"/>
      </c:barChart>
      <c:catAx>
        <c:axId val="41119231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3868730"/>
        <c:crosses val="autoZero"/>
        <c:auto val="1"/>
        <c:lblAlgn val="ctr"/>
        <c:lblOffset val="100"/>
        <c:noMultiLvlLbl val="0"/>
      </c:catAx>
      <c:valAx>
        <c:axId val="56386873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119231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d5c0cc9-b334-4371-8d24-af50369cc3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[Sales_Data_30_Rows.xlsx]Sheet11!PivotTable2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Sheet11!$K$5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Sheet11!$J$6:$J$37</c:f>
              <c:strCache>
                <c:ptCount val="31"/>
                <c:pt idx="0">
                  <c:v>15-01-2022</c:v>
                </c:pt>
                <c:pt idx="1">
                  <c:v>16-03-2022</c:v>
                </c:pt>
                <c:pt idx="2">
                  <c:v>17-04-2022</c:v>
                </c:pt>
                <c:pt idx="3">
                  <c:v>18-05-2022</c:v>
                </c:pt>
                <c:pt idx="4">
                  <c:v>19-06-2022</c:v>
                </c:pt>
                <c:pt idx="5">
                  <c:v>20-08-2022</c:v>
                </c:pt>
                <c:pt idx="6">
                  <c:v>21-09-2022</c:v>
                </c:pt>
                <c:pt idx="7">
                  <c:v>22-10-2022</c:v>
                </c:pt>
                <c:pt idx="8">
                  <c:v>23-12-2022</c:v>
                </c:pt>
                <c:pt idx="9">
                  <c:v>19-01-2023</c:v>
                </c:pt>
                <c:pt idx="10">
                  <c:v>20-02-2023</c:v>
                </c:pt>
                <c:pt idx="11">
                  <c:v>21-04-2023</c:v>
                </c:pt>
                <c:pt idx="12">
                  <c:v>22-05-2023</c:v>
                </c:pt>
                <c:pt idx="13">
                  <c:v>23-06-2023</c:v>
                </c:pt>
                <c:pt idx="14">
                  <c:v>24-07-2023</c:v>
                </c:pt>
                <c:pt idx="15">
                  <c:v>25-08-2023</c:v>
                </c:pt>
                <c:pt idx="16">
                  <c:v>26-09-2023</c:v>
                </c:pt>
                <c:pt idx="17">
                  <c:v>27-10-2023</c:v>
                </c:pt>
                <c:pt idx="18">
                  <c:v>28-11-2023</c:v>
                </c:pt>
                <c:pt idx="19">
                  <c:v>29-12-2023</c:v>
                </c:pt>
                <c:pt idx="20">
                  <c:v>12-02-2024</c:v>
                </c:pt>
                <c:pt idx="21">
                  <c:v>13-03-2024</c:v>
                </c:pt>
                <c:pt idx="22">
                  <c:v>14-04-2024</c:v>
                </c:pt>
                <c:pt idx="23">
                  <c:v>15-05-2024</c:v>
                </c:pt>
                <c:pt idx="24">
                  <c:v>16-06-2024</c:v>
                </c:pt>
                <c:pt idx="25">
                  <c:v>17-07-2024</c:v>
                </c:pt>
                <c:pt idx="26">
                  <c:v>18-08-2024</c:v>
                </c:pt>
                <c:pt idx="27">
                  <c:v>19-09-2024</c:v>
                </c:pt>
                <c:pt idx="28">
                  <c:v>20-10-2024</c:v>
                </c:pt>
                <c:pt idx="29">
                  <c:v>21-11-2024</c:v>
                </c:pt>
                <c:pt idx="30">
                  <c:v>(blank)</c:v>
                </c:pt>
              </c:strCache>
            </c:strRef>
          </c:cat>
          <c:val>
            <c:numRef>
              <c:f>Sheet11!$K$6:$K$37</c:f>
              <c:numCache>
                <c:formatCode>General</c:formatCode>
                <c:ptCount val="31"/>
                <c:pt idx="0">
                  <c:v>45000</c:v>
                </c:pt>
                <c:pt idx="1">
                  <c:v>3200</c:v>
                </c:pt>
                <c:pt idx="2">
                  <c:v>6000</c:v>
                </c:pt>
                <c:pt idx="3">
                  <c:v>21000</c:v>
                </c:pt>
                <c:pt idx="4">
                  <c:v>38500</c:v>
                </c:pt>
                <c:pt idx="5">
                  <c:v>16000</c:v>
                </c:pt>
                <c:pt idx="6">
                  <c:v>8100</c:v>
                </c:pt>
                <c:pt idx="7">
                  <c:v>18000</c:v>
                </c:pt>
                <c:pt idx="8">
                  <c:v>132000</c:v>
                </c:pt>
                <c:pt idx="9">
                  <c:v>42000</c:v>
                </c:pt>
                <c:pt idx="10">
                  <c:v>7800</c:v>
                </c:pt>
                <c:pt idx="11">
                  <c:v>58800</c:v>
                </c:pt>
                <c:pt idx="12">
                  <c:v>120000</c:v>
                </c:pt>
                <c:pt idx="13">
                  <c:v>80000</c:v>
                </c:pt>
                <c:pt idx="14">
                  <c:v>18700</c:v>
                </c:pt>
                <c:pt idx="15">
                  <c:v>54000</c:v>
                </c:pt>
                <c:pt idx="16">
                  <c:v>47500</c:v>
                </c:pt>
                <c:pt idx="17">
                  <c:v>19000</c:v>
                </c:pt>
                <c:pt idx="18">
                  <c:v>46200</c:v>
                </c:pt>
                <c:pt idx="19">
                  <c:v>143000</c:v>
                </c:pt>
                <c:pt idx="20">
                  <c:v>64400</c:v>
                </c:pt>
                <c:pt idx="21">
                  <c:v>18000</c:v>
                </c:pt>
                <c:pt idx="22">
                  <c:v>95000</c:v>
                </c:pt>
                <c:pt idx="23">
                  <c:v>46800</c:v>
                </c:pt>
                <c:pt idx="24">
                  <c:v>86400</c:v>
                </c:pt>
                <c:pt idx="25">
                  <c:v>11200</c:v>
                </c:pt>
                <c:pt idx="26">
                  <c:v>46400</c:v>
                </c:pt>
                <c:pt idx="27">
                  <c:v>144000</c:v>
                </c:pt>
                <c:pt idx="28">
                  <c:v>18600</c:v>
                </c:pt>
                <c:pt idx="29">
                  <c:v>70400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48138075"/>
        <c:axId val="575944074"/>
      </c:barChart>
      <c:catAx>
        <c:axId val="348138075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944074"/>
        <c:crosses val="autoZero"/>
        <c:auto val="1"/>
        <c:lblAlgn val="ctr"/>
        <c:lblOffset val="100"/>
        <c:noMultiLvlLbl val="0"/>
      </c:catAx>
      <c:valAx>
        <c:axId val="57594407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81380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bd8065c-1254-45a8-963b-28cb8393cc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[Sales_Data_30_Rows.xlsx]Sheet11!PivotTable1</c:name>
    <c:fmtId val="0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Sheet11!$G$5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406315078407826"/>
                  <c:y val="-0.30397313781484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15281283758937"/>
                  <c:y val="-0.060927276840335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25704075177517"/>
                  <c:y val="0.082854063790130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80788638669981"/>
                  <c:y val="0.08065351024164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Sheet11!$F$6:$F$11</c:f>
              <c:strCache>
                <c:ptCount val="5"/>
                <c:pt idx="0">
                  <c:v>South</c:v>
                </c:pt>
                <c:pt idx="1">
                  <c:v>North</c:v>
                </c:pt>
                <c:pt idx="2">
                  <c:v>East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Sheet11!$G$6:$G$11</c:f>
              <c:numCache>
                <c:formatCode>General</c:formatCode>
                <c:ptCount val="5"/>
                <c:pt idx="0">
                  <c:v>723300</c:v>
                </c:pt>
                <c:pt idx="1">
                  <c:v>358100</c:v>
                </c:pt>
                <c:pt idx="2">
                  <c:v>159200</c:v>
                </c:pt>
                <c:pt idx="3">
                  <c:v>285400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e1a518-4637-4f52-80f7-8177f2b37c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[Sales_Data_30_Rows.xlsx]Sheet11!PivotTable17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Sheet11!$A$4:$A$8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k</c:v>
                </c:pt>
              </c:strCache>
            </c:strRef>
          </c:cat>
          <c:val>
            <c:numRef>
              <c:f>Sheet11!$B$4:$B$8</c:f>
              <c:numCache>
                <c:formatCode>General</c:formatCode>
                <c:ptCount val="4"/>
                <c:pt idx="0">
                  <c:v>287800</c:v>
                </c:pt>
                <c:pt idx="1">
                  <c:v>637000</c:v>
                </c:pt>
                <c:pt idx="2">
                  <c:v>601200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2703532"/>
        <c:axId val="620972376"/>
      </c:lineChart>
      <c:catAx>
        <c:axId val="2327035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0972376"/>
        <c:crosses val="autoZero"/>
        <c:auto val="1"/>
        <c:lblAlgn val="ctr"/>
        <c:lblOffset val="100"/>
        <c:noMultiLvlLbl val="0"/>
      </c:catAx>
      <c:valAx>
        <c:axId val="6209723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2703532"/>
        <c:crosses val="autoZero"/>
        <c:crossBetween val="between"/>
      </c:valAx>
      <c:spPr>
        <a:solidFill>
          <a:schemeClr val="accent3">
            <a:lumMod val="5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3ae030c-fb97-470e-b0b1-3a5f0b7b9430}"/>
      </c:ext>
    </c:extLst>
  </c:chart>
  <c:spPr>
    <a:solidFill>
      <a:schemeClr val="accent3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{"Tablet","Smartwatch","Bluetooth Speaker","Air Conditioner","Camera"}</c:f>
              <c:strCache>
                <c:ptCount val="5"/>
                <c:pt idx="0">
                  <c:v>Tablet</c:v>
                </c:pt>
                <c:pt idx="1">
                  <c:v>Smartwatch</c:v>
                </c:pt>
                <c:pt idx="2">
                  <c:v>Bluetooth Speaker</c:v>
                </c:pt>
                <c:pt idx="3">
                  <c:v>Air Conditioner</c:v>
                </c:pt>
                <c:pt idx="4">
                  <c:v>Camera</c:v>
                </c:pt>
              </c:strCache>
            </c:strRef>
          </c:cat>
          <c:val>
            <c:numRef>
              <c:f>{132000,120000,143000,95000,144000}</c:f>
              <c:numCache>
                <c:formatCode>General</c:formatCode>
                <c:ptCount val="5"/>
                <c:pt idx="0">
                  <c:v>132000</c:v>
                </c:pt>
                <c:pt idx="1">
                  <c:v>120000</c:v>
                </c:pt>
                <c:pt idx="2">
                  <c:v>143000</c:v>
                </c:pt>
                <c:pt idx="3">
                  <c:v>95000</c:v>
                </c:pt>
                <c:pt idx="4">
                  <c:v>144000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11660778"/>
        <c:axId val="819939241"/>
      </c:barChart>
      <c:dateAx>
        <c:axId val="611660778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 forceAA="0"/>
            <a:lstStyle/>
            <a:p>
              <a:pPr>
                <a:defRPr lang="en-GB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19939241"/>
        <c:crosses val="autoZero"/>
        <c:auto val="1"/>
        <c:lblAlgn val="ctr"/>
        <c:lblOffset val="100"/>
        <c:baseTimeUnit val="days"/>
      </c:dateAx>
      <c:valAx>
        <c:axId val="819939241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1166077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c6ddc23-9916-43ab-9160-50ec2623fbb2}"/>
      </c:ext>
    </c:extLst>
  </c:chart>
  <c:spPr>
    <a:solidFill>
      <a:schemeClr val="accent3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>
          <a:solidFill>
            <a:schemeClr val="bg1"/>
          </a:solidFill>
        </a:defRPr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[Sales_Data_30_Rows.xlsx]Sheet11!PivotTable29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Sheet11!$N$8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softEdge rad="12700"/>
            </a:effectLst>
          </c:spPr>
          <c:invertIfNegative val="0"/>
          <c:dLbls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Sheet11!$M$9:$M$39</c:f>
              <c:strCache>
                <c:ptCount val="30"/>
                <c:pt idx="0">
                  <c:v>Ravi</c:v>
                </c:pt>
                <c:pt idx="1">
                  <c:v>Anita</c:v>
                </c:pt>
                <c:pt idx="2">
                  <c:v>Suresh</c:v>
                </c:pt>
                <c:pt idx="3">
                  <c:v>Neha</c:v>
                </c:pt>
                <c:pt idx="4">
                  <c:v>venu</c:v>
                </c:pt>
                <c:pt idx="5">
                  <c:v>Hari</c:v>
                </c:pt>
                <c:pt idx="6">
                  <c:v>Ramu</c:v>
                </c:pt>
                <c:pt idx="7">
                  <c:v>Mahesh</c:v>
                </c:pt>
                <c:pt idx="8">
                  <c:v>Madhu</c:v>
                </c:pt>
                <c:pt idx="9">
                  <c:v>Ramesh</c:v>
                </c:pt>
                <c:pt idx="10">
                  <c:v>Gopal</c:v>
                </c:pt>
                <c:pt idx="11">
                  <c:v>Sneha</c:v>
                </c:pt>
                <c:pt idx="12">
                  <c:v>Bhargav</c:v>
                </c:pt>
                <c:pt idx="13">
                  <c:v>Sunil</c:v>
                </c:pt>
                <c:pt idx="14">
                  <c:v>Pavani</c:v>
                </c:pt>
                <c:pt idx="15">
                  <c:v>Kumar</c:v>
                </c:pt>
                <c:pt idx="16">
                  <c:v>Shivaji</c:v>
                </c:pt>
                <c:pt idx="17">
                  <c:v>Venkat</c:v>
                </c:pt>
                <c:pt idx="18">
                  <c:v>Ram</c:v>
                </c:pt>
                <c:pt idx="19">
                  <c:v>Malvika</c:v>
                </c:pt>
                <c:pt idx="20">
                  <c:v>Bhegam</c:v>
                </c:pt>
                <c:pt idx="21">
                  <c:v>Somesh</c:v>
                </c:pt>
                <c:pt idx="22">
                  <c:v>Bhavi</c:v>
                </c:pt>
                <c:pt idx="23">
                  <c:v>Reddy</c:v>
                </c:pt>
                <c:pt idx="24">
                  <c:v>Anil</c:v>
                </c:pt>
                <c:pt idx="25">
                  <c:v>Supraja</c:v>
                </c:pt>
                <c:pt idx="26">
                  <c:v>Nehanvi</c:v>
                </c:pt>
                <c:pt idx="27">
                  <c:v>Ravivarma</c:v>
                </c:pt>
                <c:pt idx="28">
                  <c:v>Raju</c:v>
                </c:pt>
                <c:pt idx="29">
                  <c:v>(blank)</c:v>
                </c:pt>
              </c:strCache>
            </c:strRef>
          </c:cat>
          <c:val>
            <c:numRef>
              <c:f>Sheet11!$N$9:$N$39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11192313"/>
        <c:axId val="563868730"/>
      </c:barChart>
      <c:catAx>
        <c:axId val="41119231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563868730"/>
        <c:crosses val="autoZero"/>
        <c:auto val="1"/>
        <c:lblAlgn val="ctr"/>
        <c:lblOffset val="100"/>
        <c:noMultiLvlLbl val="0"/>
      </c:catAx>
      <c:valAx>
        <c:axId val="56386873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41119231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674e113-f0c5-4455-bd91-c343ac90b8bf}"/>
      </c:ext>
    </c:extLst>
  </c:chart>
  <c:spPr>
    <a:solidFill>
      <a:schemeClr val="accent3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GB">
          <a:ln>
            <a:solidFill>
              <a:schemeClr val="bg1"/>
            </a:solidFill>
          </a:ln>
          <a:solidFill>
            <a:schemeClr val="lt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[Sales_Data_30_Rows.xlsx]Sheet11!PivotTable2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Sheet11!$K$5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Sheet11!$J$6:$J$37</c:f>
              <c:strCache>
                <c:ptCount val="31"/>
                <c:pt idx="0">
                  <c:v>15-01-2022</c:v>
                </c:pt>
                <c:pt idx="1">
                  <c:v>16-03-2022</c:v>
                </c:pt>
                <c:pt idx="2">
                  <c:v>17-04-2022</c:v>
                </c:pt>
                <c:pt idx="3">
                  <c:v>18-05-2022</c:v>
                </c:pt>
                <c:pt idx="4">
                  <c:v>19-06-2022</c:v>
                </c:pt>
                <c:pt idx="5">
                  <c:v>20-08-2022</c:v>
                </c:pt>
                <c:pt idx="6">
                  <c:v>21-09-2022</c:v>
                </c:pt>
                <c:pt idx="7">
                  <c:v>22-10-2022</c:v>
                </c:pt>
                <c:pt idx="8">
                  <c:v>23-12-2022</c:v>
                </c:pt>
                <c:pt idx="9">
                  <c:v>19-01-2023</c:v>
                </c:pt>
                <c:pt idx="10">
                  <c:v>20-02-2023</c:v>
                </c:pt>
                <c:pt idx="11">
                  <c:v>21-04-2023</c:v>
                </c:pt>
                <c:pt idx="12">
                  <c:v>22-05-2023</c:v>
                </c:pt>
                <c:pt idx="13">
                  <c:v>23-06-2023</c:v>
                </c:pt>
                <c:pt idx="14">
                  <c:v>24-07-2023</c:v>
                </c:pt>
                <c:pt idx="15">
                  <c:v>25-08-2023</c:v>
                </c:pt>
                <c:pt idx="16">
                  <c:v>26-09-2023</c:v>
                </c:pt>
                <c:pt idx="17">
                  <c:v>27-10-2023</c:v>
                </c:pt>
                <c:pt idx="18">
                  <c:v>28-11-2023</c:v>
                </c:pt>
                <c:pt idx="19">
                  <c:v>29-12-2023</c:v>
                </c:pt>
                <c:pt idx="20">
                  <c:v>12-02-2024</c:v>
                </c:pt>
                <c:pt idx="21">
                  <c:v>13-03-2024</c:v>
                </c:pt>
                <c:pt idx="22">
                  <c:v>14-04-2024</c:v>
                </c:pt>
                <c:pt idx="23">
                  <c:v>15-05-2024</c:v>
                </c:pt>
                <c:pt idx="24">
                  <c:v>16-06-2024</c:v>
                </c:pt>
                <c:pt idx="25">
                  <c:v>17-07-2024</c:v>
                </c:pt>
                <c:pt idx="26">
                  <c:v>18-08-2024</c:v>
                </c:pt>
                <c:pt idx="27">
                  <c:v>19-09-2024</c:v>
                </c:pt>
                <c:pt idx="28">
                  <c:v>20-10-2024</c:v>
                </c:pt>
                <c:pt idx="29">
                  <c:v>21-11-2024</c:v>
                </c:pt>
                <c:pt idx="30">
                  <c:v>(blank)</c:v>
                </c:pt>
              </c:strCache>
            </c:strRef>
          </c:cat>
          <c:val>
            <c:numRef>
              <c:f>Sheet11!$K$6:$K$37</c:f>
              <c:numCache>
                <c:formatCode>General</c:formatCode>
                <c:ptCount val="31"/>
                <c:pt idx="0">
                  <c:v>45000</c:v>
                </c:pt>
                <c:pt idx="1">
                  <c:v>3200</c:v>
                </c:pt>
                <c:pt idx="2">
                  <c:v>6000</c:v>
                </c:pt>
                <c:pt idx="3">
                  <c:v>21000</c:v>
                </c:pt>
                <c:pt idx="4">
                  <c:v>38500</c:v>
                </c:pt>
                <c:pt idx="5">
                  <c:v>16000</c:v>
                </c:pt>
                <c:pt idx="6">
                  <c:v>8100</c:v>
                </c:pt>
                <c:pt idx="7">
                  <c:v>18000</c:v>
                </c:pt>
                <c:pt idx="8">
                  <c:v>132000</c:v>
                </c:pt>
                <c:pt idx="9">
                  <c:v>42000</c:v>
                </c:pt>
                <c:pt idx="10">
                  <c:v>7800</c:v>
                </c:pt>
                <c:pt idx="11">
                  <c:v>58800</c:v>
                </c:pt>
                <c:pt idx="12">
                  <c:v>120000</c:v>
                </c:pt>
                <c:pt idx="13">
                  <c:v>80000</c:v>
                </c:pt>
                <c:pt idx="14">
                  <c:v>18700</c:v>
                </c:pt>
                <c:pt idx="15">
                  <c:v>54000</c:v>
                </c:pt>
                <c:pt idx="16">
                  <c:v>47500</c:v>
                </c:pt>
                <c:pt idx="17">
                  <c:v>19000</c:v>
                </c:pt>
                <c:pt idx="18">
                  <c:v>46200</c:v>
                </c:pt>
                <c:pt idx="19">
                  <c:v>143000</c:v>
                </c:pt>
                <c:pt idx="20">
                  <c:v>64400</c:v>
                </c:pt>
                <c:pt idx="21">
                  <c:v>18000</c:v>
                </c:pt>
                <c:pt idx="22">
                  <c:v>95000</c:v>
                </c:pt>
                <c:pt idx="23">
                  <c:v>46800</c:v>
                </c:pt>
                <c:pt idx="24">
                  <c:v>86400</c:v>
                </c:pt>
                <c:pt idx="25">
                  <c:v>11200</c:v>
                </c:pt>
                <c:pt idx="26">
                  <c:v>46400</c:v>
                </c:pt>
                <c:pt idx="27">
                  <c:v>144000</c:v>
                </c:pt>
                <c:pt idx="28">
                  <c:v>18600</c:v>
                </c:pt>
                <c:pt idx="29">
                  <c:v>70400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48138075"/>
        <c:axId val="575944074"/>
      </c:barChart>
      <c:catAx>
        <c:axId val="348138075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944074"/>
        <c:crosses val="autoZero"/>
        <c:auto val="1"/>
        <c:lblAlgn val="ctr"/>
        <c:lblOffset val="100"/>
        <c:noMultiLvlLbl val="0"/>
      </c:catAx>
      <c:valAx>
        <c:axId val="57594407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8138075"/>
        <c:crosses val="autoZero"/>
        <c:crossBetween val="between"/>
      </c:valAx>
      <c:spPr>
        <a:solidFill>
          <a:schemeClr val="accent3">
            <a:lumMod val="5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46acb84-9e60-412e-9329-f333dc398227}"/>
      </c:ext>
    </c:extLst>
  </c:chart>
  <c:spPr>
    <a:solidFill>
      <a:schemeClr val="accent3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[Sales_Data_30_Rows.xlsx]Sheet11!PivotTable1</c:name>
    <c:fmtId val="2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Sheet11!$G$5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406315078407826"/>
                  <c:y val="-0.30397313781484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15281283758937"/>
                  <c:y val="-0.060927276840335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25704075177517"/>
                  <c:y val="0.082854063790130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80788638669981"/>
                  <c:y val="0.08065351024164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Sheet11!$F$6:$F$11</c:f>
              <c:strCache>
                <c:ptCount val="5"/>
                <c:pt idx="0">
                  <c:v>South</c:v>
                </c:pt>
                <c:pt idx="1">
                  <c:v>North</c:v>
                </c:pt>
                <c:pt idx="2">
                  <c:v>East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Sheet11!$G$6:$G$11</c:f>
              <c:numCache>
                <c:formatCode>General</c:formatCode>
                <c:ptCount val="5"/>
                <c:pt idx="0">
                  <c:v>723300</c:v>
                </c:pt>
                <c:pt idx="1">
                  <c:v>358100</c:v>
                </c:pt>
                <c:pt idx="2">
                  <c:v>159200</c:v>
                </c:pt>
                <c:pt idx="3">
                  <c:v>285400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2e5d4fa-5c9f-4537-a13e-1c8f8cc097b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[Sales_Data_30_Rows.xlsx]Sheet11!PivotTable1</c:name>
    <c:fmtId val="4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Sheet11!$G$5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explosion val="0"/>
          <c:dPt>
            <c:idx val="0"/>
            <c:bubble3D val="0"/>
            <c:spPr>
              <a:solidFill>
                <a:schemeClr val="tx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406315078407826"/>
                  <c:y val="-0.30397313781484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15281283758937"/>
                  <c:y val="-0.060927276840335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25704075177517"/>
                  <c:y val="0.082854063790130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80788638669981"/>
                  <c:y val="0.08065351024164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Sheet11!$F$6:$F$11</c:f>
              <c:strCache>
                <c:ptCount val="5"/>
                <c:pt idx="0">
                  <c:v>South</c:v>
                </c:pt>
                <c:pt idx="1">
                  <c:v>North</c:v>
                </c:pt>
                <c:pt idx="2">
                  <c:v>East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Sheet11!$G$6:$G$11</c:f>
              <c:numCache>
                <c:formatCode>General</c:formatCode>
                <c:ptCount val="5"/>
                <c:pt idx="0">
                  <c:v>723300</c:v>
                </c:pt>
                <c:pt idx="1">
                  <c:v>358100</c:v>
                </c:pt>
                <c:pt idx="2">
                  <c:v>159200</c:v>
                </c:pt>
                <c:pt idx="3">
                  <c:v>285400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ln>
                <a:noFill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52e3f0-ea39-49ea-a295-8fe31e9c39ad}"/>
      </c:ext>
    </c:extLst>
  </c:chart>
  <c:spPr>
    <a:solidFill>
      <a:schemeClr val="accent3">
        <a:lumMod val="50000"/>
      </a:schemeClr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lang="en-GB">
          <a:ln>
            <a:noFill/>
          </a:ln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[Sales_Data_30_Rows.xlsx]Sheet11!PivotTable17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0474833808167141"/>
          <c:y val="0.225326990826093"/>
          <c:w val="0.930357708135486"/>
          <c:h val="0.601149426988321"/>
        </c:manualLayout>
      </c:layout>
      <c:lineChart>
        <c:grouping val="standar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Sheet11!$A$4:$A$8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k</c:v>
                </c:pt>
              </c:strCache>
            </c:strRef>
          </c:cat>
          <c:val>
            <c:numRef>
              <c:f>Sheet11!$B$4:$B$8</c:f>
              <c:numCache>
                <c:formatCode>General</c:formatCode>
                <c:ptCount val="4"/>
                <c:pt idx="0">
                  <c:v>287800</c:v>
                </c:pt>
                <c:pt idx="1">
                  <c:v>637000</c:v>
                </c:pt>
                <c:pt idx="2">
                  <c:v>601200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2703532"/>
        <c:axId val="620972376"/>
      </c:lineChart>
      <c:catAx>
        <c:axId val="2327035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0972376"/>
        <c:crosses val="autoZero"/>
        <c:auto val="1"/>
        <c:lblAlgn val="ctr"/>
        <c:lblOffset val="100"/>
        <c:noMultiLvlLbl val="0"/>
      </c:catAx>
      <c:valAx>
        <c:axId val="6209723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27035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3ae030c-fb97-470e-b0b1-3a5f0b7b9430}"/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[Sales_Data_30_Rows.xlsx]Sheet11!PivotTable2</c:name>
    <c:fmtId val="4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Sheet11!$K$5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Sheet11!$J$6:$J$37</c:f>
              <c:strCache>
                <c:ptCount val="31"/>
                <c:pt idx="0">
                  <c:v>15-01-2022</c:v>
                </c:pt>
                <c:pt idx="1">
                  <c:v>16-03-2022</c:v>
                </c:pt>
                <c:pt idx="2">
                  <c:v>17-04-2022</c:v>
                </c:pt>
                <c:pt idx="3">
                  <c:v>18-05-2022</c:v>
                </c:pt>
                <c:pt idx="4">
                  <c:v>19-06-2022</c:v>
                </c:pt>
                <c:pt idx="5">
                  <c:v>20-08-2022</c:v>
                </c:pt>
                <c:pt idx="6">
                  <c:v>21-09-2022</c:v>
                </c:pt>
                <c:pt idx="7">
                  <c:v>22-10-2022</c:v>
                </c:pt>
                <c:pt idx="8">
                  <c:v>23-12-2022</c:v>
                </c:pt>
                <c:pt idx="9">
                  <c:v>19-01-2023</c:v>
                </c:pt>
                <c:pt idx="10">
                  <c:v>20-02-2023</c:v>
                </c:pt>
                <c:pt idx="11">
                  <c:v>21-04-2023</c:v>
                </c:pt>
                <c:pt idx="12">
                  <c:v>22-05-2023</c:v>
                </c:pt>
                <c:pt idx="13">
                  <c:v>23-06-2023</c:v>
                </c:pt>
                <c:pt idx="14">
                  <c:v>24-07-2023</c:v>
                </c:pt>
                <c:pt idx="15">
                  <c:v>25-08-2023</c:v>
                </c:pt>
                <c:pt idx="16">
                  <c:v>26-09-2023</c:v>
                </c:pt>
                <c:pt idx="17">
                  <c:v>27-10-2023</c:v>
                </c:pt>
                <c:pt idx="18">
                  <c:v>28-11-2023</c:v>
                </c:pt>
                <c:pt idx="19">
                  <c:v>29-12-2023</c:v>
                </c:pt>
                <c:pt idx="20">
                  <c:v>12-02-2024</c:v>
                </c:pt>
                <c:pt idx="21">
                  <c:v>13-03-2024</c:v>
                </c:pt>
                <c:pt idx="22">
                  <c:v>14-04-2024</c:v>
                </c:pt>
                <c:pt idx="23">
                  <c:v>15-05-2024</c:v>
                </c:pt>
                <c:pt idx="24">
                  <c:v>16-06-2024</c:v>
                </c:pt>
                <c:pt idx="25">
                  <c:v>17-07-2024</c:v>
                </c:pt>
                <c:pt idx="26">
                  <c:v>18-08-2024</c:v>
                </c:pt>
                <c:pt idx="27">
                  <c:v>19-09-2024</c:v>
                </c:pt>
                <c:pt idx="28">
                  <c:v>20-10-2024</c:v>
                </c:pt>
                <c:pt idx="29">
                  <c:v>21-11-2024</c:v>
                </c:pt>
                <c:pt idx="30">
                  <c:v>(blank)</c:v>
                </c:pt>
              </c:strCache>
            </c:strRef>
          </c:cat>
          <c:val>
            <c:numRef>
              <c:f>Sheet11!$K$6:$K$37</c:f>
              <c:numCache>
                <c:formatCode>General</c:formatCode>
                <c:ptCount val="31"/>
                <c:pt idx="0">
                  <c:v>45000</c:v>
                </c:pt>
                <c:pt idx="1">
                  <c:v>3200</c:v>
                </c:pt>
                <c:pt idx="2">
                  <c:v>6000</c:v>
                </c:pt>
                <c:pt idx="3">
                  <c:v>21000</c:v>
                </c:pt>
                <c:pt idx="4">
                  <c:v>38500</c:v>
                </c:pt>
                <c:pt idx="5">
                  <c:v>16000</c:v>
                </c:pt>
                <c:pt idx="6">
                  <c:v>8100</c:v>
                </c:pt>
                <c:pt idx="7">
                  <c:v>18000</c:v>
                </c:pt>
                <c:pt idx="8">
                  <c:v>132000</c:v>
                </c:pt>
                <c:pt idx="9">
                  <c:v>42000</c:v>
                </c:pt>
                <c:pt idx="10">
                  <c:v>7800</c:v>
                </c:pt>
                <c:pt idx="11">
                  <c:v>58800</c:v>
                </c:pt>
                <c:pt idx="12">
                  <c:v>120000</c:v>
                </c:pt>
                <c:pt idx="13">
                  <c:v>80000</c:v>
                </c:pt>
                <c:pt idx="14">
                  <c:v>18700</c:v>
                </c:pt>
                <c:pt idx="15">
                  <c:v>54000</c:v>
                </c:pt>
                <c:pt idx="16">
                  <c:v>47500</c:v>
                </c:pt>
                <c:pt idx="17">
                  <c:v>19000</c:v>
                </c:pt>
                <c:pt idx="18">
                  <c:v>46200</c:v>
                </c:pt>
                <c:pt idx="19">
                  <c:v>143000</c:v>
                </c:pt>
                <c:pt idx="20">
                  <c:v>64400</c:v>
                </c:pt>
                <c:pt idx="21">
                  <c:v>18000</c:v>
                </c:pt>
                <c:pt idx="22">
                  <c:v>95000</c:v>
                </c:pt>
                <c:pt idx="23">
                  <c:v>46800</c:v>
                </c:pt>
                <c:pt idx="24">
                  <c:v>86400</c:v>
                </c:pt>
                <c:pt idx="25">
                  <c:v>11200</c:v>
                </c:pt>
                <c:pt idx="26">
                  <c:v>46400</c:v>
                </c:pt>
                <c:pt idx="27">
                  <c:v>144000</c:v>
                </c:pt>
                <c:pt idx="28">
                  <c:v>18600</c:v>
                </c:pt>
                <c:pt idx="29">
                  <c:v>70400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48138075"/>
        <c:axId val="575944074"/>
      </c:barChart>
      <c:catAx>
        <c:axId val="348138075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75944074"/>
        <c:crosses val="autoZero"/>
        <c:auto val="1"/>
        <c:lblAlgn val="ctr"/>
        <c:lblOffset val="100"/>
        <c:noMultiLvlLbl val="0"/>
      </c:catAx>
      <c:valAx>
        <c:axId val="57594407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481380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6acb84-9e60-412e-9329-f333dc398227}"/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lang="en-GB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[Sales_Data_30_Rows.xlsx]Sheet11!PivotTable1</c:name>
    <c:fmtId val="6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Sheet11!$G$5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406315078407826"/>
                  <c:y val="-0.30397313781484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15281283758937"/>
                  <c:y val="-0.060927276840335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25704075177517"/>
                  <c:y val="0.082854063790130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80788638669981"/>
                  <c:y val="0.08065351024164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Sheet11!$F$6:$F$11</c:f>
              <c:strCache>
                <c:ptCount val="5"/>
                <c:pt idx="0">
                  <c:v>South</c:v>
                </c:pt>
                <c:pt idx="1">
                  <c:v>North</c:v>
                </c:pt>
                <c:pt idx="2">
                  <c:v>East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Sheet11!$G$6:$G$11</c:f>
              <c:numCache>
                <c:formatCode>General</c:formatCode>
                <c:ptCount val="5"/>
                <c:pt idx="0">
                  <c:v>723300</c:v>
                </c:pt>
                <c:pt idx="1">
                  <c:v>358100</c:v>
                </c:pt>
                <c:pt idx="2">
                  <c:v>159200</c:v>
                </c:pt>
                <c:pt idx="3">
                  <c:v>285400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52e3f0-ea39-49ea-a295-8fe31e9c39ad}"/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lang="en-GB">
          <a:ln>
            <a:noFill/>
          </a:ln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[Sales_Data_30_Rows.xlsx]Sheet11!PivotTable29</c:name>
    <c:fmtId val="6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Sheet11!$N$8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>
              <a:softEdge rad="12700"/>
            </a:effectLst>
          </c:spPr>
          <c:invertIfNegative val="0"/>
          <c:dLbls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Sheet11!$M$9:$M$39</c:f>
              <c:strCache>
                <c:ptCount val="30"/>
                <c:pt idx="0">
                  <c:v>Ravi</c:v>
                </c:pt>
                <c:pt idx="1">
                  <c:v>Anita</c:v>
                </c:pt>
                <c:pt idx="2">
                  <c:v>Suresh</c:v>
                </c:pt>
                <c:pt idx="3">
                  <c:v>Neha</c:v>
                </c:pt>
                <c:pt idx="4">
                  <c:v>venu</c:v>
                </c:pt>
                <c:pt idx="5">
                  <c:v>Hari</c:v>
                </c:pt>
                <c:pt idx="6">
                  <c:v>Ramu</c:v>
                </c:pt>
                <c:pt idx="7">
                  <c:v>Mahesh</c:v>
                </c:pt>
                <c:pt idx="8">
                  <c:v>Madhu</c:v>
                </c:pt>
                <c:pt idx="9">
                  <c:v>Ramesh</c:v>
                </c:pt>
                <c:pt idx="10">
                  <c:v>Gopal</c:v>
                </c:pt>
                <c:pt idx="11">
                  <c:v>Sneha</c:v>
                </c:pt>
                <c:pt idx="12">
                  <c:v>Bhargav</c:v>
                </c:pt>
                <c:pt idx="13">
                  <c:v>Sunil</c:v>
                </c:pt>
                <c:pt idx="14">
                  <c:v>Pavani</c:v>
                </c:pt>
                <c:pt idx="15">
                  <c:v>Kumar</c:v>
                </c:pt>
                <c:pt idx="16">
                  <c:v>Shivaji</c:v>
                </c:pt>
                <c:pt idx="17">
                  <c:v>Venkat</c:v>
                </c:pt>
                <c:pt idx="18">
                  <c:v>Ram</c:v>
                </c:pt>
                <c:pt idx="19">
                  <c:v>Malvika</c:v>
                </c:pt>
                <c:pt idx="20">
                  <c:v>Bhegam</c:v>
                </c:pt>
                <c:pt idx="21">
                  <c:v>Somesh</c:v>
                </c:pt>
                <c:pt idx="22">
                  <c:v>Bhavi</c:v>
                </c:pt>
                <c:pt idx="23">
                  <c:v>Reddy</c:v>
                </c:pt>
                <c:pt idx="24">
                  <c:v>Anil</c:v>
                </c:pt>
                <c:pt idx="25">
                  <c:v>Supraja</c:v>
                </c:pt>
                <c:pt idx="26">
                  <c:v>Nehanvi</c:v>
                </c:pt>
                <c:pt idx="27">
                  <c:v>Ravivarma</c:v>
                </c:pt>
                <c:pt idx="28">
                  <c:v>Raju</c:v>
                </c:pt>
                <c:pt idx="29">
                  <c:v>(blank)</c:v>
                </c:pt>
              </c:strCache>
            </c:strRef>
          </c:cat>
          <c:val>
            <c:numRef>
              <c:f>Sheet11!$N$9:$N$39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11192313"/>
        <c:axId val="563868730"/>
      </c:barChart>
      <c:catAx>
        <c:axId val="41119231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3868730"/>
        <c:crosses val="autoZero"/>
        <c:auto val="1"/>
        <c:lblAlgn val="ctr"/>
        <c:lblOffset val="100"/>
        <c:noMultiLvlLbl val="0"/>
      </c:catAx>
      <c:valAx>
        <c:axId val="56386873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11923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5c0cc9-b334-4371-8d24-af50369cc32f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GB" sz="14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{"Tablet","Smartwatch","Bluetooth Speaker","Air Conditioner","Camera"}</c:f>
              <c:strCache>
                <c:ptCount val="5"/>
                <c:pt idx="0">
                  <c:v>Tablet</c:v>
                </c:pt>
                <c:pt idx="1">
                  <c:v>Smartwatch</c:v>
                </c:pt>
                <c:pt idx="2">
                  <c:v>Bluetooth Speaker</c:v>
                </c:pt>
                <c:pt idx="3">
                  <c:v>Air Conditioner</c:v>
                </c:pt>
                <c:pt idx="4">
                  <c:v>Camera</c:v>
                </c:pt>
              </c:strCache>
            </c:strRef>
          </c:cat>
          <c:val>
            <c:numRef>
              <c:f>{132000,120000,143000,95000,144000}</c:f>
              <c:numCache>
                <c:formatCode>General</c:formatCode>
                <c:ptCount val="5"/>
                <c:pt idx="0">
                  <c:v>132000</c:v>
                </c:pt>
                <c:pt idx="1">
                  <c:v>120000</c:v>
                </c:pt>
                <c:pt idx="2">
                  <c:v>143000</c:v>
                </c:pt>
                <c:pt idx="3">
                  <c:v>95000</c:v>
                </c:pt>
                <c:pt idx="4">
                  <c:v>144000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11660778"/>
        <c:axId val="819939241"/>
      </c:barChart>
      <c:dateAx>
        <c:axId val="61166077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9939241"/>
        <c:crosses val="autoZero"/>
        <c:auto val="1"/>
        <c:lblAlgn val="ctr"/>
        <c:lblOffset val="100"/>
        <c:baseTimeUnit val="days"/>
      </c:dateAx>
      <c:valAx>
        <c:axId val="81993924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16607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6ddc23-9916-43ab-9160-50ec2623fbb2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2.png"/><Relationship Id="rId8" Type="http://schemas.openxmlformats.org/officeDocument/2006/relationships/image" Target="NULL" TargetMode="External"/><Relationship Id="rId7" Type="http://schemas.openxmlformats.org/officeDocument/2006/relationships/image" Target="../media/image1.webp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1" Type="http://schemas.openxmlformats.org/officeDocument/2006/relationships/image" Target="../media/image4.jpeg"/><Relationship Id="rId10" Type="http://schemas.openxmlformats.org/officeDocument/2006/relationships/image" Target="../media/image3.png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png"/><Relationship Id="rId8" Type="http://schemas.openxmlformats.org/officeDocument/2006/relationships/image" Target="../media/image2.png"/><Relationship Id="rId7" Type="http://schemas.openxmlformats.org/officeDocument/2006/relationships/image" Target="NULL" TargetMode="External"/><Relationship Id="rId6" Type="http://schemas.openxmlformats.org/officeDocument/2006/relationships/image" Target="../media/image1.webp"/><Relationship Id="rId5" Type="http://schemas.openxmlformats.org/officeDocument/2006/relationships/chart" Target="../charts/chart16.xml"/><Relationship Id="rId4" Type="http://schemas.openxmlformats.org/officeDocument/2006/relationships/chart" Target="../charts/chart15.xml"/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0" Type="http://schemas.openxmlformats.org/officeDocument/2006/relationships/image" Target="../media/image4.jpeg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3175</xdr:colOff>
      <xdr:row>13</xdr:row>
      <xdr:rowOff>65405</xdr:rowOff>
    </xdr:from>
    <xdr:to>
      <xdr:col>31</xdr:col>
      <xdr:colOff>569595</xdr:colOff>
      <xdr:row>28</xdr:row>
      <xdr:rowOff>65405</xdr:rowOff>
    </xdr:to>
    <xdr:graphicFrame>
      <xdr:nvGraphicFramePr>
        <xdr:cNvPr id="6" name="Chart 5"/>
        <xdr:cNvGraphicFramePr/>
      </xdr:nvGraphicFramePr>
      <xdr:xfrm>
        <a:off x="21301075" y="2442845"/>
        <a:ext cx="36144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</xdr:colOff>
      <xdr:row>9</xdr:row>
      <xdr:rowOff>181610</xdr:rowOff>
    </xdr:from>
    <xdr:to>
      <xdr:col>3</xdr:col>
      <xdr:colOff>328930</xdr:colOff>
      <xdr:row>22</xdr:row>
      <xdr:rowOff>13335</xdr:rowOff>
    </xdr:to>
    <xdr:graphicFrame>
      <xdr:nvGraphicFramePr>
        <xdr:cNvPr id="8" name="Chart 7"/>
        <xdr:cNvGraphicFramePr/>
      </xdr:nvGraphicFramePr>
      <xdr:xfrm>
        <a:off x="22860" y="1827530"/>
        <a:ext cx="3681730" cy="2209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230505</xdr:colOff>
      <xdr:row>6</xdr:row>
      <xdr:rowOff>146050</xdr:rowOff>
    </xdr:from>
    <xdr:to>
      <xdr:col>25</xdr:col>
      <xdr:colOff>414655</xdr:colOff>
      <xdr:row>29</xdr:row>
      <xdr:rowOff>172720</xdr:rowOff>
    </xdr:to>
    <xdr:graphicFrame>
      <xdr:nvGraphicFramePr>
        <xdr:cNvPr id="17" name="Chart 16"/>
        <xdr:cNvGraphicFramePr/>
      </xdr:nvGraphicFramePr>
      <xdr:xfrm>
        <a:off x="14213205" y="1243330"/>
        <a:ext cx="6889750" cy="4232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231775</xdr:colOff>
      <xdr:row>30</xdr:row>
      <xdr:rowOff>106045</xdr:rowOff>
    </xdr:from>
    <xdr:to>
      <xdr:col>26</xdr:col>
      <xdr:colOff>45720</xdr:colOff>
      <xdr:row>48</xdr:row>
      <xdr:rowOff>72390</xdr:rowOff>
    </xdr:to>
    <xdr:graphicFrame>
      <xdr:nvGraphicFramePr>
        <xdr:cNvPr id="10" name="Chart 9"/>
        <xdr:cNvGraphicFramePr/>
      </xdr:nvGraphicFramePr>
      <xdr:xfrm>
        <a:off x="14214475" y="5592445"/>
        <a:ext cx="7129145" cy="3258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299085</xdr:colOff>
      <xdr:row>23</xdr:row>
      <xdr:rowOff>128270</xdr:rowOff>
    </xdr:from>
    <xdr:to>
      <xdr:col>5</xdr:col>
      <xdr:colOff>530225</xdr:colOff>
      <xdr:row>38</xdr:row>
      <xdr:rowOff>128270</xdr:rowOff>
    </xdr:to>
    <xdr:graphicFrame>
      <xdr:nvGraphicFramePr>
        <xdr:cNvPr id="2" name="Chart 1"/>
        <xdr:cNvGraphicFramePr/>
      </xdr:nvGraphicFramePr>
      <xdr:xfrm>
        <a:off x="299085" y="433451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30480</xdr:colOff>
      <xdr:row>0</xdr:row>
      <xdr:rowOff>22860</xdr:rowOff>
    </xdr:from>
    <xdr:to>
      <xdr:col>21</xdr:col>
      <xdr:colOff>535305</xdr:colOff>
      <xdr:row>6</xdr:row>
      <xdr:rowOff>36830</xdr:rowOff>
    </xdr:to>
    <xdr:sp>
      <xdr:nvSpPr>
        <xdr:cNvPr id="2" name="Rounded Rectangle 1"/>
        <xdr:cNvSpPr/>
      </xdr:nvSpPr>
      <xdr:spPr>
        <a:xfrm>
          <a:off x="30480" y="22860"/>
          <a:ext cx="14236065" cy="1111250"/>
        </a:xfrm>
        <a:prstGeom prst="round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430530</xdr:colOff>
      <xdr:row>1</xdr:row>
      <xdr:rowOff>120650</xdr:rowOff>
    </xdr:from>
    <xdr:to>
      <xdr:col>16</xdr:col>
      <xdr:colOff>236220</xdr:colOff>
      <xdr:row>4</xdr:row>
      <xdr:rowOff>59690</xdr:rowOff>
    </xdr:to>
    <xdr:sp>
      <xdr:nvSpPr>
        <xdr:cNvPr id="3" name="Text Box 2"/>
        <xdr:cNvSpPr txBox="1"/>
      </xdr:nvSpPr>
      <xdr:spPr>
        <a:xfrm>
          <a:off x="4088130" y="303530"/>
          <a:ext cx="5901690" cy="487680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altLang="en-GB" sz="2800">
              <a:solidFill>
                <a:srgbClr val="FFFF00"/>
              </a:solidFill>
            </a:rPr>
            <a:t>Sales Data Of Past Three Years</a:t>
          </a:r>
          <a:endParaRPr lang="en-US" altLang="en-GB" sz="28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594995</xdr:colOff>
      <xdr:row>13</xdr:row>
      <xdr:rowOff>40640</xdr:rowOff>
    </xdr:from>
    <xdr:to>
      <xdr:col>21</xdr:col>
      <xdr:colOff>342265</xdr:colOff>
      <xdr:row>63</xdr:row>
      <xdr:rowOff>133350</xdr:rowOff>
    </xdr:to>
    <xdr:sp>
      <xdr:nvSpPr>
        <xdr:cNvPr id="11" name="Rectangles 10"/>
        <xdr:cNvSpPr/>
      </xdr:nvSpPr>
      <xdr:spPr>
        <a:xfrm>
          <a:off x="1814195" y="2418080"/>
          <a:ext cx="12259310" cy="92367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32385</xdr:colOff>
      <xdr:row>6</xdr:row>
      <xdr:rowOff>47625</xdr:rowOff>
    </xdr:from>
    <xdr:to>
      <xdr:col>4</xdr:col>
      <xdr:colOff>330835</xdr:colOff>
      <xdr:row>13</xdr:row>
      <xdr:rowOff>60325</xdr:rowOff>
    </xdr:to>
    <xdr:sp>
      <xdr:nvSpPr>
        <xdr:cNvPr id="13" name="Rounded Rectangle 12"/>
        <xdr:cNvSpPr/>
      </xdr:nvSpPr>
      <xdr:spPr>
        <a:xfrm>
          <a:off x="32385" y="1144905"/>
          <a:ext cx="2736850" cy="1292860"/>
        </a:xfrm>
        <a:prstGeom prst="round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0</xdr:col>
      <xdr:colOff>13335</xdr:colOff>
      <xdr:row>6</xdr:row>
      <xdr:rowOff>43180</xdr:rowOff>
    </xdr:from>
    <xdr:to>
      <xdr:col>1</xdr:col>
      <xdr:colOff>407035</xdr:colOff>
      <xdr:row>13</xdr:row>
      <xdr:rowOff>43815</xdr:rowOff>
    </xdr:to>
    <xdr:sp>
      <xdr:nvSpPr>
        <xdr:cNvPr id="14" name="Rounded Rectangle 13"/>
        <xdr:cNvSpPr/>
      </xdr:nvSpPr>
      <xdr:spPr>
        <a:xfrm>
          <a:off x="13335" y="1140460"/>
          <a:ext cx="1003300" cy="1280795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2</xdr:col>
      <xdr:colOff>71755</xdr:colOff>
      <xdr:row>7</xdr:row>
      <xdr:rowOff>149225</xdr:rowOff>
    </xdr:from>
    <xdr:to>
      <xdr:col>4</xdr:col>
      <xdr:colOff>140970</xdr:colOff>
      <xdr:row>11</xdr:row>
      <xdr:rowOff>106045</xdr:rowOff>
    </xdr:to>
    <xdr:sp>
      <xdr:nvSpPr>
        <xdr:cNvPr id="15" name="Text Box 14"/>
        <xdr:cNvSpPr txBox="1"/>
      </xdr:nvSpPr>
      <xdr:spPr>
        <a:xfrm>
          <a:off x="1290955" y="1429385"/>
          <a:ext cx="1288415" cy="688340"/>
        </a:xfrm>
        <a:prstGeom prst="rect">
          <a:avLst/>
        </a:prstGeom>
        <a:solidFill>
          <a:srgbClr val="92D050"/>
        </a:solidFill>
        <a:ln w="9525" cmpd="sng">
          <a:solidFill>
            <a:schemeClr val="accent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altLang="en-GB" sz="1600" b="1"/>
            <a:t>Grand Total</a:t>
          </a:r>
          <a:endParaRPr lang="en-US" altLang="en-GB" sz="1600" b="1"/>
        </a:p>
        <a:p>
          <a:pPr algn="l"/>
          <a:r>
            <a:rPr lang="en-US" altLang="en-GB" sz="1600" b="1"/>
            <a:t>1526000</a:t>
          </a:r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4</xdr:col>
      <xdr:colOff>316865</xdr:colOff>
      <xdr:row>5</xdr:row>
      <xdr:rowOff>167005</xdr:rowOff>
    </xdr:from>
    <xdr:to>
      <xdr:col>9</xdr:col>
      <xdr:colOff>5715</xdr:colOff>
      <xdr:row>13</xdr:row>
      <xdr:rowOff>20955</xdr:rowOff>
    </xdr:to>
    <xdr:sp>
      <xdr:nvSpPr>
        <xdr:cNvPr id="16" name="Rounded Rectangle 15"/>
        <xdr:cNvSpPr/>
      </xdr:nvSpPr>
      <xdr:spPr>
        <a:xfrm>
          <a:off x="2755265" y="1081405"/>
          <a:ext cx="2736850" cy="1316990"/>
        </a:xfrm>
        <a:prstGeom prst="round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4</xdr:col>
      <xdr:colOff>329565</xdr:colOff>
      <xdr:row>5</xdr:row>
      <xdr:rowOff>177800</xdr:rowOff>
    </xdr:from>
    <xdr:to>
      <xdr:col>6</xdr:col>
      <xdr:colOff>114300</xdr:colOff>
      <xdr:row>13</xdr:row>
      <xdr:rowOff>19685</xdr:rowOff>
    </xdr:to>
    <xdr:sp>
      <xdr:nvSpPr>
        <xdr:cNvPr id="17" name="Rounded Rectangle 16"/>
        <xdr:cNvSpPr/>
      </xdr:nvSpPr>
      <xdr:spPr>
        <a:xfrm>
          <a:off x="2767965" y="1092200"/>
          <a:ext cx="1003935" cy="1304925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6</xdr:col>
      <xdr:colOff>273685</xdr:colOff>
      <xdr:row>7</xdr:row>
      <xdr:rowOff>99695</xdr:rowOff>
    </xdr:from>
    <xdr:to>
      <xdr:col>8</xdr:col>
      <xdr:colOff>455930</xdr:colOff>
      <xdr:row>11</xdr:row>
      <xdr:rowOff>67945</xdr:rowOff>
    </xdr:to>
    <xdr:sp>
      <xdr:nvSpPr>
        <xdr:cNvPr id="18" name="Text Box 17"/>
        <xdr:cNvSpPr txBox="1"/>
      </xdr:nvSpPr>
      <xdr:spPr>
        <a:xfrm>
          <a:off x="3931285" y="1379855"/>
          <a:ext cx="1401445" cy="699770"/>
        </a:xfrm>
        <a:prstGeom prst="rect">
          <a:avLst/>
        </a:prstGeom>
        <a:solidFill>
          <a:srgbClr val="92D050"/>
        </a:solidFill>
        <a:ln w="9525" cmpd="sng">
          <a:solidFill>
            <a:schemeClr val="accent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1600" b="1"/>
            <a:t>Average Sales</a:t>
          </a:r>
          <a:endParaRPr lang="en-US" altLang="en-GB" sz="1600" b="1"/>
        </a:p>
        <a:p>
          <a:pPr algn="l"/>
          <a:r>
            <a:rPr lang="en-US" altLang="en-GB" sz="1600" b="1"/>
            <a:t>50866.66667</a:t>
          </a:r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13</xdr:col>
      <xdr:colOff>298450</xdr:colOff>
      <xdr:row>13</xdr:row>
      <xdr:rowOff>36830</xdr:rowOff>
    </xdr:to>
    <xdr:sp>
      <xdr:nvSpPr>
        <xdr:cNvPr id="21" name="Rounded Rectangle 20"/>
        <xdr:cNvSpPr/>
      </xdr:nvSpPr>
      <xdr:spPr>
        <a:xfrm>
          <a:off x="5486400" y="1097280"/>
          <a:ext cx="2736850" cy="1316990"/>
        </a:xfrm>
        <a:prstGeom prst="round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9</xdr:col>
      <xdr:colOff>12700</xdr:colOff>
      <xdr:row>6</xdr:row>
      <xdr:rowOff>10795</xdr:rowOff>
    </xdr:from>
    <xdr:to>
      <xdr:col>10</xdr:col>
      <xdr:colOff>407035</xdr:colOff>
      <xdr:row>13</xdr:row>
      <xdr:rowOff>35560</xdr:rowOff>
    </xdr:to>
    <xdr:sp>
      <xdr:nvSpPr>
        <xdr:cNvPr id="22" name="Rounded Rectangle 21"/>
        <xdr:cNvSpPr/>
      </xdr:nvSpPr>
      <xdr:spPr>
        <a:xfrm>
          <a:off x="5499100" y="1108075"/>
          <a:ext cx="1003935" cy="1304925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10</xdr:col>
      <xdr:colOff>566420</xdr:colOff>
      <xdr:row>7</xdr:row>
      <xdr:rowOff>115570</xdr:rowOff>
    </xdr:from>
    <xdr:to>
      <xdr:col>13</xdr:col>
      <xdr:colOff>139065</xdr:colOff>
      <xdr:row>11</xdr:row>
      <xdr:rowOff>83820</xdr:rowOff>
    </xdr:to>
    <xdr:sp>
      <xdr:nvSpPr>
        <xdr:cNvPr id="23" name="Text Box 22"/>
        <xdr:cNvSpPr txBox="1"/>
      </xdr:nvSpPr>
      <xdr:spPr>
        <a:xfrm>
          <a:off x="6662420" y="1395730"/>
          <a:ext cx="1401445" cy="699770"/>
        </a:xfrm>
        <a:prstGeom prst="rect">
          <a:avLst/>
        </a:prstGeom>
        <a:solidFill>
          <a:srgbClr val="92D050"/>
        </a:solidFill>
        <a:ln w="9525" cmpd="sng">
          <a:solidFill>
            <a:schemeClr val="accent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1600" b="1"/>
            <a:t>Total Profit</a:t>
          </a:r>
          <a:endParaRPr lang="en-US" altLang="en-GB" sz="1600" b="1"/>
        </a:p>
        <a:p>
          <a:pPr algn="l"/>
          <a:r>
            <a:rPr lang="en-US" altLang="en-GB" sz="1600" b="1"/>
            <a:t> 441050</a:t>
          </a:r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13</xdr:col>
      <xdr:colOff>304800</xdr:colOff>
      <xdr:row>6</xdr:row>
      <xdr:rowOff>0</xdr:rowOff>
    </xdr:from>
    <xdr:to>
      <xdr:col>17</xdr:col>
      <xdr:colOff>603250</xdr:colOff>
      <xdr:row>13</xdr:row>
      <xdr:rowOff>36830</xdr:rowOff>
    </xdr:to>
    <xdr:sp>
      <xdr:nvSpPr>
        <xdr:cNvPr id="24" name="Rounded Rectangle 23"/>
        <xdr:cNvSpPr/>
      </xdr:nvSpPr>
      <xdr:spPr>
        <a:xfrm>
          <a:off x="8229600" y="1097280"/>
          <a:ext cx="2736850" cy="1316990"/>
        </a:xfrm>
        <a:prstGeom prst="round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13</xdr:col>
      <xdr:colOff>317500</xdr:colOff>
      <xdr:row>6</xdr:row>
      <xdr:rowOff>10795</xdr:rowOff>
    </xdr:from>
    <xdr:to>
      <xdr:col>15</xdr:col>
      <xdr:colOff>101600</xdr:colOff>
      <xdr:row>13</xdr:row>
      <xdr:rowOff>35560</xdr:rowOff>
    </xdr:to>
    <xdr:sp>
      <xdr:nvSpPr>
        <xdr:cNvPr id="25" name="Rounded Rectangle 24"/>
        <xdr:cNvSpPr/>
      </xdr:nvSpPr>
      <xdr:spPr>
        <a:xfrm>
          <a:off x="8242300" y="1108075"/>
          <a:ext cx="1003300" cy="1304925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15</xdr:col>
      <xdr:colOff>261620</xdr:colOff>
      <xdr:row>7</xdr:row>
      <xdr:rowOff>115570</xdr:rowOff>
    </xdr:from>
    <xdr:to>
      <xdr:col>17</xdr:col>
      <xdr:colOff>443865</xdr:colOff>
      <xdr:row>11</xdr:row>
      <xdr:rowOff>83820</xdr:rowOff>
    </xdr:to>
    <xdr:sp>
      <xdr:nvSpPr>
        <xdr:cNvPr id="26" name="Text Box 25"/>
        <xdr:cNvSpPr txBox="1"/>
      </xdr:nvSpPr>
      <xdr:spPr>
        <a:xfrm>
          <a:off x="9405620" y="1395730"/>
          <a:ext cx="1401445" cy="699770"/>
        </a:xfrm>
        <a:prstGeom prst="rect">
          <a:avLst/>
        </a:prstGeom>
        <a:solidFill>
          <a:srgbClr val="92D050"/>
        </a:solidFill>
        <a:ln w="9525" cmpd="sng">
          <a:solidFill>
            <a:schemeClr val="accent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1600" b="1"/>
            <a:t>Unit Sold </a:t>
          </a:r>
          <a:endParaRPr lang="en-US" altLang="en-GB" sz="1600" b="1"/>
        </a:p>
        <a:p>
          <a:pPr algn="l"/>
          <a:r>
            <a:rPr lang="en-US" altLang="en-GB" sz="1600" b="1"/>
            <a:t>525</a:t>
          </a:r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3</xdr:col>
      <xdr:colOff>38100</xdr:colOff>
      <xdr:row>30</xdr:row>
      <xdr:rowOff>46355</xdr:rowOff>
    </xdr:from>
    <xdr:to>
      <xdr:col>9</xdr:col>
      <xdr:colOff>392430</xdr:colOff>
      <xdr:row>47</xdr:row>
      <xdr:rowOff>12065</xdr:rowOff>
    </xdr:to>
    <xdr:graphicFrame>
      <xdr:nvGraphicFramePr>
        <xdr:cNvPr id="28" name="Chart 27"/>
        <xdr:cNvGraphicFramePr/>
      </xdr:nvGraphicFramePr>
      <xdr:xfrm>
        <a:off x="1866900" y="5532755"/>
        <a:ext cx="4011930" cy="3074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17780</xdr:colOff>
      <xdr:row>47</xdr:row>
      <xdr:rowOff>3175</xdr:rowOff>
    </xdr:from>
    <xdr:to>
      <xdr:col>9</xdr:col>
      <xdr:colOff>427355</xdr:colOff>
      <xdr:row>63</xdr:row>
      <xdr:rowOff>176530</xdr:rowOff>
    </xdr:to>
    <xdr:graphicFrame>
      <xdr:nvGraphicFramePr>
        <xdr:cNvPr id="30" name="Chart 29"/>
        <xdr:cNvGraphicFramePr/>
      </xdr:nvGraphicFramePr>
      <xdr:xfrm>
        <a:off x="1846580" y="8598535"/>
        <a:ext cx="4067175" cy="3099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437515</xdr:colOff>
      <xdr:row>35</xdr:row>
      <xdr:rowOff>20320</xdr:rowOff>
    </xdr:from>
    <xdr:to>
      <xdr:col>22</xdr:col>
      <xdr:colOff>28575</xdr:colOff>
      <xdr:row>63</xdr:row>
      <xdr:rowOff>175895</xdr:rowOff>
    </xdr:to>
    <xdr:graphicFrame>
      <xdr:nvGraphicFramePr>
        <xdr:cNvPr id="31" name="Chart 30"/>
        <xdr:cNvGraphicFramePr/>
      </xdr:nvGraphicFramePr>
      <xdr:xfrm>
        <a:off x="5923915" y="6421120"/>
        <a:ext cx="8445500" cy="5276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7620</xdr:colOff>
      <xdr:row>13</xdr:row>
      <xdr:rowOff>45720</xdr:rowOff>
    </xdr:from>
    <xdr:to>
      <xdr:col>2</xdr:col>
      <xdr:colOff>608965</xdr:colOff>
      <xdr:row>43</xdr:row>
      <xdr:rowOff>161290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Salesperson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2423160"/>
              <a:ext cx="1820545" cy="5601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9</xdr:col>
      <xdr:colOff>398145</xdr:colOff>
      <xdr:row>13</xdr:row>
      <xdr:rowOff>94615</xdr:rowOff>
    </xdr:from>
    <xdr:to>
      <xdr:col>22</xdr:col>
      <xdr:colOff>46990</xdr:colOff>
      <xdr:row>35</xdr:row>
      <xdr:rowOff>25400</xdr:rowOff>
    </xdr:to>
    <xdr:graphicFrame>
      <xdr:nvGraphicFramePr>
        <xdr:cNvPr id="32" name="Chart 31"/>
        <xdr:cNvGraphicFramePr/>
      </xdr:nvGraphicFramePr>
      <xdr:xfrm>
        <a:off x="5884545" y="2472055"/>
        <a:ext cx="8503285" cy="3954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699135</xdr:colOff>
      <xdr:row>6</xdr:row>
      <xdr:rowOff>122555</xdr:rowOff>
    </xdr:from>
    <xdr:to>
      <xdr:col>19</xdr:col>
      <xdr:colOff>312420</xdr:colOff>
      <xdr:row>13</xdr:row>
      <xdr:rowOff>76835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62335" y="1219835"/>
              <a:ext cx="1762125" cy="1234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43</xdr:row>
      <xdr:rowOff>145415</xdr:rowOff>
    </xdr:from>
    <xdr:to>
      <xdr:col>2</xdr:col>
      <xdr:colOff>595630</xdr:colOff>
      <xdr:row>59</xdr:row>
      <xdr:rowOff>172720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8009255"/>
              <a:ext cx="1807210" cy="29533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352425</xdr:colOff>
      <xdr:row>6</xdr:row>
      <xdr:rowOff>154940</xdr:rowOff>
    </xdr:from>
    <xdr:to>
      <xdr:col>22</xdr:col>
      <xdr:colOff>133985</xdr:colOff>
      <xdr:row>13</xdr:row>
      <xdr:rowOff>92075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Yea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64465" y="1252220"/>
              <a:ext cx="1610360" cy="1217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415925</xdr:colOff>
      <xdr:row>6</xdr:row>
      <xdr:rowOff>122555</xdr:rowOff>
    </xdr:from>
    <xdr:to>
      <xdr:col>5</xdr:col>
      <xdr:colOff>591185</xdr:colOff>
      <xdr:row>12</xdr:row>
      <xdr:rowOff>12700</xdr:rowOff>
    </xdr:to>
    <xdr:pic>
      <xdr:nvPicPr>
        <xdr:cNvPr id="10" name="Picture 9" descr="Sales icon from Business Bicolor Set Stock Vector by ©ahasoft 79089250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2854325" y="1219835"/>
          <a:ext cx="784860" cy="987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635</xdr:colOff>
      <xdr:row>7</xdr:row>
      <xdr:rowOff>24130</xdr:rowOff>
    </xdr:from>
    <xdr:to>
      <xdr:col>1</xdr:col>
      <xdr:colOff>433070</xdr:colOff>
      <xdr:row>12</xdr:row>
      <xdr:rowOff>152400</xdr:rowOff>
    </xdr:to>
    <xdr:pic>
      <xdr:nvPicPr>
        <xdr:cNvPr id="7" name="Picture 6" descr="Sigma Generic color fill icon | Freepik"/>
        <xdr:cNvPicPr>
          <a:picLocks noChangeAspect="1"/>
        </xdr:cNvPicPr>
      </xdr:nvPicPr>
      <xdr:blipFill>
        <a:blip r:embed="rId9" r:link="rId8"/>
        <a:stretch>
          <a:fillRect/>
        </a:stretch>
      </xdr:blipFill>
      <xdr:spPr>
        <a:xfrm>
          <a:off x="635" y="1304290"/>
          <a:ext cx="1042035" cy="1042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342265</xdr:colOff>
      <xdr:row>6</xdr:row>
      <xdr:rowOff>147955</xdr:rowOff>
    </xdr:from>
    <xdr:to>
      <xdr:col>15</xdr:col>
      <xdr:colOff>8255</xdr:colOff>
      <xdr:row>11</xdr:row>
      <xdr:rowOff>124460</xdr:rowOff>
    </xdr:to>
    <xdr:pic>
      <xdr:nvPicPr>
        <xdr:cNvPr id="9" name="Picture 8" descr="Product - Free fashion icons"/>
        <xdr:cNvPicPr>
          <a:picLocks noChangeAspect="1"/>
        </xdr:cNvPicPr>
      </xdr:nvPicPr>
      <xdr:blipFill>
        <a:blip r:embed="rId10" r:link="rId8"/>
        <a:stretch>
          <a:fillRect/>
        </a:stretch>
      </xdr:blipFill>
      <xdr:spPr>
        <a:xfrm>
          <a:off x="8267065" y="1245235"/>
          <a:ext cx="885190" cy="8909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86995</xdr:colOff>
      <xdr:row>6</xdr:row>
      <xdr:rowOff>170815</xdr:rowOff>
    </xdr:from>
    <xdr:to>
      <xdr:col>10</xdr:col>
      <xdr:colOff>216535</xdr:colOff>
      <xdr:row>11</xdr:row>
      <xdr:rowOff>50800</xdr:rowOff>
    </xdr:to>
    <xdr:pic>
      <xdr:nvPicPr>
        <xdr:cNvPr id="12" name="Picture 11" descr="Indian Rupee Icon Isolated Illustration Rupee Stock Vector (Royalty Free)  289754864 | Shutterstock"/>
        <xdr:cNvPicPr>
          <a:picLocks noChangeAspect="1"/>
        </xdr:cNvPicPr>
      </xdr:nvPicPr>
      <xdr:blipFill>
        <a:blip r:embed="rId11" r:link="rId8"/>
        <a:stretch>
          <a:fillRect/>
        </a:stretch>
      </xdr:blipFill>
      <xdr:spPr>
        <a:xfrm>
          <a:off x="5573395" y="1268095"/>
          <a:ext cx="739140" cy="79438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99</xdr:col>
      <xdr:colOff>290830</xdr:colOff>
      <xdr:row>28</xdr:row>
      <xdr:rowOff>125730</xdr:rowOff>
    </xdr:from>
    <xdr:to>
      <xdr:col>107</xdr:col>
      <xdr:colOff>240030</xdr:colOff>
      <xdr:row>43</xdr:row>
      <xdr:rowOff>125730</xdr:rowOff>
    </xdr:to>
    <xdr:graphicFrame>
      <xdr:nvGraphicFramePr>
        <xdr:cNvPr id="19" name="Chart 18"/>
        <xdr:cNvGraphicFramePr/>
      </xdr:nvGraphicFramePr>
      <xdr:xfrm>
        <a:off x="61570870" y="524637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60960</xdr:colOff>
      <xdr:row>12</xdr:row>
      <xdr:rowOff>181610</xdr:rowOff>
    </xdr:from>
    <xdr:to>
      <xdr:col>9</xdr:col>
      <xdr:colOff>428625</xdr:colOff>
      <xdr:row>30</xdr:row>
      <xdr:rowOff>93345</xdr:rowOff>
    </xdr:to>
    <xdr:graphicFrame>
      <xdr:nvGraphicFramePr>
        <xdr:cNvPr id="29" name="Chart 28"/>
        <xdr:cNvGraphicFramePr/>
      </xdr:nvGraphicFramePr>
      <xdr:xfrm>
        <a:off x="1889760" y="2376170"/>
        <a:ext cx="4025265" cy="3203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1</xdr:row>
      <xdr:rowOff>14605</xdr:rowOff>
    </xdr:from>
    <xdr:to>
      <xdr:col>24</xdr:col>
      <xdr:colOff>36195</xdr:colOff>
      <xdr:row>64</xdr:row>
      <xdr:rowOff>108585</xdr:rowOff>
    </xdr:to>
    <xdr:sp>
      <xdr:nvSpPr>
        <xdr:cNvPr id="2" name="Rectangles 1"/>
        <xdr:cNvSpPr/>
      </xdr:nvSpPr>
      <xdr:spPr>
        <a:xfrm>
          <a:off x="7620" y="197485"/>
          <a:ext cx="14658975" cy="11615420"/>
        </a:xfrm>
        <a:prstGeom prst="rect">
          <a:avLst/>
        </a:prstGeom>
        <a:solidFill>
          <a:srgbClr val="24CFE8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0</xdr:col>
      <xdr:colOff>7620</xdr:colOff>
      <xdr:row>0</xdr:row>
      <xdr:rowOff>7620</xdr:rowOff>
    </xdr:from>
    <xdr:to>
      <xdr:col>2</xdr:col>
      <xdr:colOff>175895</xdr:colOff>
      <xdr:row>65</xdr:row>
      <xdr:rowOff>16510</xdr:rowOff>
    </xdr:to>
    <xdr:sp>
      <xdr:nvSpPr>
        <xdr:cNvPr id="3" name="Rectangles 2"/>
        <xdr:cNvSpPr/>
      </xdr:nvSpPr>
      <xdr:spPr>
        <a:xfrm>
          <a:off x="7620" y="7620"/>
          <a:ext cx="1387475" cy="11896090"/>
        </a:xfrm>
        <a:prstGeom prst="rect">
          <a:avLst/>
        </a:prstGeom>
      </xdr:spPr>
      <xdr:style>
        <a:lnRef idx="0">
          <a:srgbClr val="FFFFFF"/>
        </a:lnRef>
        <a:fillRef idx="1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2</xdr:col>
      <xdr:colOff>182880</xdr:colOff>
      <xdr:row>0</xdr:row>
      <xdr:rowOff>635</xdr:rowOff>
    </xdr:from>
    <xdr:to>
      <xdr:col>24</xdr:col>
      <xdr:colOff>78105</xdr:colOff>
      <xdr:row>6</xdr:row>
      <xdr:rowOff>14605</xdr:rowOff>
    </xdr:to>
    <xdr:sp>
      <xdr:nvSpPr>
        <xdr:cNvPr id="4" name="Rounded Rectangle 3"/>
        <xdr:cNvSpPr/>
      </xdr:nvSpPr>
      <xdr:spPr>
        <a:xfrm>
          <a:off x="1402080" y="635"/>
          <a:ext cx="13306425" cy="111125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rgbClr val="FFFFFF"/>
        </a:lnRef>
        <a:fillRef idx="2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259080</xdr:colOff>
      <xdr:row>1</xdr:row>
      <xdr:rowOff>155575</xdr:rowOff>
    </xdr:from>
    <xdr:to>
      <xdr:col>23</xdr:col>
      <xdr:colOff>330200</xdr:colOff>
      <xdr:row>5</xdr:row>
      <xdr:rowOff>10795</xdr:rowOff>
    </xdr:to>
    <xdr:sp>
      <xdr:nvSpPr>
        <xdr:cNvPr id="5" name="Text Box 4"/>
        <xdr:cNvSpPr txBox="1"/>
      </xdr:nvSpPr>
      <xdr:spPr>
        <a:xfrm>
          <a:off x="5135880" y="338455"/>
          <a:ext cx="9215120" cy="5867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3600">
              <a:solidFill>
                <a:schemeClr val="tx1"/>
              </a:solidFill>
            </a:rPr>
            <a:t>Sales Data Of Past Three Years</a:t>
          </a:r>
          <a:endParaRPr lang="en-US" altLang="en-GB" sz="36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457200</xdr:colOff>
      <xdr:row>6</xdr:row>
      <xdr:rowOff>50165</xdr:rowOff>
    </xdr:from>
    <xdr:to>
      <xdr:col>9</xdr:col>
      <xdr:colOff>146685</xdr:colOff>
      <xdr:row>13</xdr:row>
      <xdr:rowOff>62865</xdr:rowOff>
    </xdr:to>
    <xdr:sp>
      <xdr:nvSpPr>
        <xdr:cNvPr id="7" name="Rounded Rectangle 6"/>
        <xdr:cNvSpPr/>
      </xdr:nvSpPr>
      <xdr:spPr>
        <a:xfrm>
          <a:off x="2895600" y="1147445"/>
          <a:ext cx="2737485" cy="129286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4</xdr:col>
      <xdr:colOff>508635</xdr:colOff>
      <xdr:row>6</xdr:row>
      <xdr:rowOff>62230</xdr:rowOff>
    </xdr:from>
    <xdr:to>
      <xdr:col>6</xdr:col>
      <xdr:colOff>292735</xdr:colOff>
      <xdr:row>13</xdr:row>
      <xdr:rowOff>62865</xdr:rowOff>
    </xdr:to>
    <xdr:sp>
      <xdr:nvSpPr>
        <xdr:cNvPr id="8" name="Rounded Rectangle 7"/>
        <xdr:cNvSpPr/>
      </xdr:nvSpPr>
      <xdr:spPr>
        <a:xfrm>
          <a:off x="2947035" y="1159510"/>
          <a:ext cx="1003300" cy="1280795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6</xdr:col>
      <xdr:colOff>384810</xdr:colOff>
      <xdr:row>6</xdr:row>
      <xdr:rowOff>129540</xdr:rowOff>
    </xdr:from>
    <xdr:to>
      <xdr:col>8</xdr:col>
      <xdr:colOff>509905</xdr:colOff>
      <xdr:row>13</xdr:row>
      <xdr:rowOff>34925</xdr:rowOff>
    </xdr:to>
    <xdr:sp>
      <xdr:nvSpPr>
        <xdr:cNvPr id="9" name="Text Box 8"/>
        <xdr:cNvSpPr txBox="1"/>
      </xdr:nvSpPr>
      <xdr:spPr>
        <a:xfrm>
          <a:off x="4042410" y="1226820"/>
          <a:ext cx="1344295" cy="1185545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2000" b="1"/>
            <a:t>Grand Total</a:t>
          </a:r>
          <a:endParaRPr lang="en-US" altLang="en-GB" sz="2000" b="1"/>
        </a:p>
        <a:p>
          <a:pPr algn="l"/>
          <a:r>
            <a:rPr lang="en-US" altLang="en-GB" sz="2000" b="1"/>
            <a:t>1526000</a:t>
          </a:r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8</xdr:col>
      <xdr:colOff>478155</xdr:colOff>
      <xdr:row>6</xdr:row>
      <xdr:rowOff>14605</xdr:rowOff>
    </xdr:from>
    <xdr:to>
      <xdr:col>13</xdr:col>
      <xdr:colOff>167005</xdr:colOff>
      <xdr:row>13</xdr:row>
      <xdr:rowOff>50800</xdr:rowOff>
    </xdr:to>
    <xdr:sp>
      <xdr:nvSpPr>
        <xdr:cNvPr id="10" name="Rounded Rectangle 9"/>
        <xdr:cNvSpPr/>
      </xdr:nvSpPr>
      <xdr:spPr>
        <a:xfrm>
          <a:off x="5354955" y="1111885"/>
          <a:ext cx="2736850" cy="131635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8</xdr:col>
      <xdr:colOff>471805</xdr:colOff>
      <xdr:row>6</xdr:row>
      <xdr:rowOff>6350</xdr:rowOff>
    </xdr:from>
    <xdr:to>
      <xdr:col>10</xdr:col>
      <xdr:colOff>256540</xdr:colOff>
      <xdr:row>13</xdr:row>
      <xdr:rowOff>31115</xdr:rowOff>
    </xdr:to>
    <xdr:sp>
      <xdr:nvSpPr>
        <xdr:cNvPr id="11" name="Rounded Rectangle 10"/>
        <xdr:cNvSpPr/>
      </xdr:nvSpPr>
      <xdr:spPr>
        <a:xfrm>
          <a:off x="5348605" y="1103630"/>
          <a:ext cx="1003935" cy="1304925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10</xdr:col>
      <xdr:colOff>291465</xdr:colOff>
      <xdr:row>6</xdr:row>
      <xdr:rowOff>110490</xdr:rowOff>
    </xdr:from>
    <xdr:to>
      <xdr:col>13</xdr:col>
      <xdr:colOff>14605</xdr:colOff>
      <xdr:row>13</xdr:row>
      <xdr:rowOff>26670</xdr:rowOff>
    </xdr:to>
    <xdr:sp>
      <xdr:nvSpPr>
        <xdr:cNvPr id="12" name="Text Box 11"/>
        <xdr:cNvSpPr txBox="1"/>
      </xdr:nvSpPr>
      <xdr:spPr>
        <a:xfrm>
          <a:off x="6387465" y="1207770"/>
          <a:ext cx="1551940" cy="1196340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2000" b="1"/>
            <a:t>Average Sales</a:t>
          </a:r>
          <a:endParaRPr lang="en-US" altLang="en-GB" sz="2000" b="1"/>
        </a:p>
        <a:p>
          <a:pPr algn="l"/>
          <a:r>
            <a:rPr lang="en-US" altLang="en-GB" sz="2000" b="1"/>
            <a:t>50866.66667</a:t>
          </a:r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13</xdr:col>
      <xdr:colOff>139700</xdr:colOff>
      <xdr:row>5</xdr:row>
      <xdr:rowOff>111760</xdr:rowOff>
    </xdr:from>
    <xdr:to>
      <xdr:col>17</xdr:col>
      <xdr:colOff>438150</xdr:colOff>
      <xdr:row>12</xdr:row>
      <xdr:rowOff>148590</xdr:rowOff>
    </xdr:to>
    <xdr:sp>
      <xdr:nvSpPr>
        <xdr:cNvPr id="13" name="Rounded Rectangle 12"/>
        <xdr:cNvSpPr/>
      </xdr:nvSpPr>
      <xdr:spPr>
        <a:xfrm>
          <a:off x="8064500" y="1026160"/>
          <a:ext cx="2736850" cy="131699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13</xdr:col>
      <xdr:colOff>152400</xdr:colOff>
      <xdr:row>5</xdr:row>
      <xdr:rowOff>121920</xdr:rowOff>
    </xdr:from>
    <xdr:to>
      <xdr:col>14</xdr:col>
      <xdr:colOff>546735</xdr:colOff>
      <xdr:row>12</xdr:row>
      <xdr:rowOff>147320</xdr:rowOff>
    </xdr:to>
    <xdr:sp>
      <xdr:nvSpPr>
        <xdr:cNvPr id="14" name="Rounded Rectangle 13"/>
        <xdr:cNvSpPr/>
      </xdr:nvSpPr>
      <xdr:spPr>
        <a:xfrm>
          <a:off x="8077200" y="1036320"/>
          <a:ext cx="1003935" cy="1305560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14</xdr:col>
      <xdr:colOff>598805</xdr:colOff>
      <xdr:row>6</xdr:row>
      <xdr:rowOff>7620</xdr:rowOff>
    </xdr:from>
    <xdr:to>
      <xdr:col>17</xdr:col>
      <xdr:colOff>353695</xdr:colOff>
      <xdr:row>11</xdr:row>
      <xdr:rowOff>176530</xdr:rowOff>
    </xdr:to>
    <xdr:sp>
      <xdr:nvSpPr>
        <xdr:cNvPr id="15" name="Text Box 14"/>
        <xdr:cNvSpPr txBox="1"/>
      </xdr:nvSpPr>
      <xdr:spPr>
        <a:xfrm>
          <a:off x="9133205" y="1104900"/>
          <a:ext cx="1583690" cy="1083310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2200" b="1"/>
            <a:t>Total Profit</a:t>
          </a:r>
          <a:endParaRPr lang="en-US" altLang="en-GB" sz="2200" b="1"/>
        </a:p>
        <a:p>
          <a:pPr algn="l"/>
          <a:r>
            <a:rPr lang="en-US" altLang="en-GB" sz="2200" b="1"/>
            <a:t> 441050</a:t>
          </a:r>
          <a:endParaRPr lang="en-US" altLang="en-GB" sz="22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17</xdr:col>
      <xdr:colOff>476250</xdr:colOff>
      <xdr:row>5</xdr:row>
      <xdr:rowOff>144780</xdr:rowOff>
    </xdr:from>
    <xdr:to>
      <xdr:col>22</xdr:col>
      <xdr:colOff>165100</xdr:colOff>
      <xdr:row>12</xdr:row>
      <xdr:rowOff>181610</xdr:rowOff>
    </xdr:to>
    <xdr:sp>
      <xdr:nvSpPr>
        <xdr:cNvPr id="16" name="Rounded Rectangle 15"/>
        <xdr:cNvSpPr/>
      </xdr:nvSpPr>
      <xdr:spPr>
        <a:xfrm>
          <a:off x="10839450" y="1059180"/>
          <a:ext cx="2736850" cy="131699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17</xdr:col>
      <xdr:colOff>488950</xdr:colOff>
      <xdr:row>5</xdr:row>
      <xdr:rowOff>117475</xdr:rowOff>
    </xdr:from>
    <xdr:to>
      <xdr:col>19</xdr:col>
      <xdr:colOff>273050</xdr:colOff>
      <xdr:row>12</xdr:row>
      <xdr:rowOff>142240</xdr:rowOff>
    </xdr:to>
    <xdr:sp>
      <xdr:nvSpPr>
        <xdr:cNvPr id="17" name="Rounded Rectangle 16"/>
        <xdr:cNvSpPr/>
      </xdr:nvSpPr>
      <xdr:spPr>
        <a:xfrm>
          <a:off x="10852150" y="1031875"/>
          <a:ext cx="1003300" cy="1304925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19</xdr:col>
      <xdr:colOff>394970</xdr:colOff>
      <xdr:row>6</xdr:row>
      <xdr:rowOff>130175</xdr:rowOff>
    </xdr:from>
    <xdr:to>
      <xdr:col>21</xdr:col>
      <xdr:colOff>600710</xdr:colOff>
      <xdr:row>12</xdr:row>
      <xdr:rowOff>63500</xdr:rowOff>
    </xdr:to>
    <xdr:sp>
      <xdr:nvSpPr>
        <xdr:cNvPr id="18" name="Text Box 17"/>
        <xdr:cNvSpPr txBox="1"/>
      </xdr:nvSpPr>
      <xdr:spPr>
        <a:xfrm>
          <a:off x="11977370" y="1227455"/>
          <a:ext cx="1424940" cy="1030605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2200" b="1"/>
            <a:t>Unit Sold </a:t>
          </a:r>
          <a:endParaRPr lang="en-US" altLang="en-GB" sz="2200" b="1"/>
        </a:p>
        <a:p>
          <a:pPr algn="l"/>
          <a:r>
            <a:rPr lang="en-US" altLang="en-GB" sz="2200" b="1"/>
            <a:t>525</a:t>
          </a:r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4</xdr:col>
      <xdr:colOff>514350</xdr:colOff>
      <xdr:row>31</xdr:row>
      <xdr:rowOff>46355</xdr:rowOff>
    </xdr:from>
    <xdr:to>
      <xdr:col>11</xdr:col>
      <xdr:colOff>449580</xdr:colOff>
      <xdr:row>48</xdr:row>
      <xdr:rowOff>12065</xdr:rowOff>
    </xdr:to>
    <xdr:graphicFrame>
      <xdr:nvGraphicFramePr>
        <xdr:cNvPr id="19" name="Chart 18"/>
        <xdr:cNvGraphicFramePr/>
      </xdr:nvGraphicFramePr>
      <xdr:xfrm>
        <a:off x="2952750" y="5715635"/>
        <a:ext cx="4202430" cy="3074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179070</xdr:colOff>
      <xdr:row>5</xdr:row>
      <xdr:rowOff>160020</xdr:rowOff>
    </xdr:from>
    <xdr:to>
      <xdr:col>4</xdr:col>
      <xdr:colOff>525780</xdr:colOff>
      <xdr:row>36</xdr:row>
      <xdr:rowOff>92710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Salesperson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8270" y="1074420"/>
              <a:ext cx="1565910" cy="5601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11</xdr:col>
      <xdr:colOff>401955</xdr:colOff>
      <xdr:row>13</xdr:row>
      <xdr:rowOff>23495</xdr:rowOff>
    </xdr:from>
    <xdr:to>
      <xdr:col>24</xdr:col>
      <xdr:colOff>50800</xdr:colOff>
      <xdr:row>34</xdr:row>
      <xdr:rowOff>113030</xdr:rowOff>
    </xdr:to>
    <xdr:graphicFrame>
      <xdr:nvGraphicFramePr>
        <xdr:cNvPr id="23" name="Chart 22"/>
        <xdr:cNvGraphicFramePr/>
      </xdr:nvGraphicFramePr>
      <xdr:xfrm>
        <a:off x="7107555" y="2400935"/>
        <a:ext cx="7573645" cy="3930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160655</xdr:colOff>
      <xdr:row>5</xdr:row>
      <xdr:rowOff>177800</xdr:rowOff>
    </xdr:from>
    <xdr:to>
      <xdr:col>24</xdr:col>
      <xdr:colOff>26035</xdr:colOff>
      <xdr:row>12</xdr:row>
      <xdr:rowOff>140970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71855" y="1092200"/>
              <a:ext cx="1084580" cy="12433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159385</xdr:colOff>
      <xdr:row>36</xdr:row>
      <xdr:rowOff>123825</xdr:rowOff>
    </xdr:from>
    <xdr:to>
      <xdr:col>4</xdr:col>
      <xdr:colOff>539115</xdr:colOff>
      <xdr:row>45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8585" y="6707505"/>
              <a:ext cx="1598930" cy="1684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120650</xdr:colOff>
      <xdr:row>45</xdr:row>
      <xdr:rowOff>170815</xdr:rowOff>
    </xdr:from>
    <xdr:to>
      <xdr:col>4</xdr:col>
      <xdr:colOff>512445</xdr:colOff>
      <xdr:row>53</xdr:row>
      <xdr:rowOff>118110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6" name="Yea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9850" y="8400415"/>
              <a:ext cx="1610995" cy="1410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24765</xdr:colOff>
      <xdr:row>7</xdr:row>
      <xdr:rowOff>57785</xdr:rowOff>
    </xdr:from>
    <xdr:to>
      <xdr:col>10</xdr:col>
      <xdr:colOff>200025</xdr:colOff>
      <xdr:row>12</xdr:row>
      <xdr:rowOff>130810</xdr:rowOff>
    </xdr:to>
    <xdr:pic>
      <xdr:nvPicPr>
        <xdr:cNvPr id="27" name="Picture 26" descr="Sales icon from Business Bicolor Set Stock Vector by ©ahasoft 79089250"/>
        <xdr:cNvPicPr>
          <a:picLocks noChangeAspect="1"/>
        </xdr:cNvPicPr>
      </xdr:nvPicPr>
      <xdr:blipFill>
        <a:blip r:embed="rId6" r:link="rId7"/>
        <a:stretch>
          <a:fillRect/>
        </a:stretch>
      </xdr:blipFill>
      <xdr:spPr>
        <a:xfrm>
          <a:off x="5511165" y="1337945"/>
          <a:ext cx="784860" cy="987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533400</xdr:colOff>
      <xdr:row>7</xdr:row>
      <xdr:rowOff>22860</xdr:rowOff>
    </xdr:from>
    <xdr:to>
      <xdr:col>6</xdr:col>
      <xdr:colOff>209550</xdr:colOff>
      <xdr:row>11</xdr:row>
      <xdr:rowOff>181610</xdr:rowOff>
    </xdr:to>
    <xdr:pic>
      <xdr:nvPicPr>
        <xdr:cNvPr id="28" name="Picture 27" descr="Sigma Generic color fill icon | Freepik"/>
        <xdr:cNvPicPr>
          <a:picLocks noChangeAspect="1"/>
        </xdr:cNvPicPr>
      </xdr:nvPicPr>
      <xdr:blipFill>
        <a:blip r:embed="rId8" r:link="rId7"/>
        <a:stretch>
          <a:fillRect/>
        </a:stretch>
      </xdr:blipFill>
      <xdr:spPr>
        <a:xfrm>
          <a:off x="2971800" y="1303020"/>
          <a:ext cx="895350" cy="8902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570865</xdr:colOff>
      <xdr:row>7</xdr:row>
      <xdr:rowOff>14605</xdr:rowOff>
    </xdr:from>
    <xdr:to>
      <xdr:col>19</xdr:col>
      <xdr:colOff>236855</xdr:colOff>
      <xdr:row>11</xdr:row>
      <xdr:rowOff>173990</xdr:rowOff>
    </xdr:to>
    <xdr:pic>
      <xdr:nvPicPr>
        <xdr:cNvPr id="29" name="Picture 28" descr="Product - Free fashion icons"/>
        <xdr:cNvPicPr>
          <a:picLocks noChangeAspect="1"/>
        </xdr:cNvPicPr>
      </xdr:nvPicPr>
      <xdr:blipFill>
        <a:blip r:embed="rId9" r:link="rId7"/>
        <a:stretch>
          <a:fillRect/>
        </a:stretch>
      </xdr:blipFill>
      <xdr:spPr>
        <a:xfrm>
          <a:off x="10934065" y="1294765"/>
          <a:ext cx="885190" cy="8909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226695</xdr:colOff>
      <xdr:row>6</xdr:row>
      <xdr:rowOff>99060</xdr:rowOff>
    </xdr:from>
    <xdr:to>
      <xdr:col>14</xdr:col>
      <xdr:colOff>356235</xdr:colOff>
      <xdr:row>10</xdr:row>
      <xdr:rowOff>162560</xdr:rowOff>
    </xdr:to>
    <xdr:pic>
      <xdr:nvPicPr>
        <xdr:cNvPr id="30" name="Picture 29" descr="Indian Rupee Icon Isolated Illustration Rupee Stock Vector (Royalty Free)  289754864 | Shutterstock"/>
        <xdr:cNvPicPr>
          <a:picLocks noChangeAspect="1"/>
        </xdr:cNvPicPr>
      </xdr:nvPicPr>
      <xdr:blipFill>
        <a:blip r:embed="rId10" r:link="rId7"/>
        <a:stretch>
          <a:fillRect/>
        </a:stretch>
      </xdr:blipFill>
      <xdr:spPr>
        <a:xfrm>
          <a:off x="8151495" y="1196340"/>
          <a:ext cx="739140" cy="79502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537210</xdr:colOff>
      <xdr:row>13</xdr:row>
      <xdr:rowOff>27940</xdr:rowOff>
    </xdr:from>
    <xdr:to>
      <xdr:col>11</xdr:col>
      <xdr:colOff>485140</xdr:colOff>
      <xdr:row>31</xdr:row>
      <xdr:rowOff>55245</xdr:rowOff>
    </xdr:to>
    <xdr:graphicFrame>
      <xdr:nvGraphicFramePr>
        <xdr:cNvPr id="31" name="Chart 30"/>
        <xdr:cNvGraphicFramePr/>
      </xdr:nvGraphicFramePr>
      <xdr:xfrm>
        <a:off x="2975610" y="2405380"/>
        <a:ext cx="4215130" cy="3319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460375</xdr:colOff>
      <xdr:row>34</xdr:row>
      <xdr:rowOff>130810</xdr:rowOff>
    </xdr:from>
    <xdr:to>
      <xdr:col>24</xdr:col>
      <xdr:colOff>80010</xdr:colOff>
      <xdr:row>64</xdr:row>
      <xdr:rowOff>172720</xdr:rowOff>
    </xdr:to>
    <xdr:graphicFrame>
      <xdr:nvGraphicFramePr>
        <xdr:cNvPr id="6" name="Chart 5"/>
        <xdr:cNvGraphicFramePr/>
      </xdr:nvGraphicFramePr>
      <xdr:xfrm>
        <a:off x="7165975" y="6348730"/>
        <a:ext cx="7544435" cy="5528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154940</xdr:colOff>
      <xdr:row>53</xdr:row>
      <xdr:rowOff>116840</xdr:rowOff>
    </xdr:from>
    <xdr:to>
      <xdr:col>4</xdr:col>
      <xdr:colOff>508000</xdr:colOff>
      <xdr:row>65</xdr:row>
      <xdr:rowOff>88265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2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4140" y="9809480"/>
              <a:ext cx="1572260" cy="21659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</xdr:col>
      <xdr:colOff>503555</xdr:colOff>
      <xdr:row>47</xdr:row>
      <xdr:rowOff>164465</xdr:rowOff>
    </xdr:from>
    <xdr:to>
      <xdr:col>11</xdr:col>
      <xdr:colOff>549275</xdr:colOff>
      <xdr:row>64</xdr:row>
      <xdr:rowOff>139065</xdr:rowOff>
    </xdr:to>
    <xdr:graphicFrame>
      <xdr:nvGraphicFramePr>
        <xdr:cNvPr id="33" name="Chart 32"/>
        <xdr:cNvGraphicFramePr/>
      </xdr:nvGraphicFramePr>
      <xdr:xfrm>
        <a:off x="2941955" y="8759825"/>
        <a:ext cx="4312920" cy="3083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3.4189467593" refreshedBy="krish" recordCount="31">
  <cacheSource type="worksheet">
    <worksheetSource ref="A1:M32" sheet="Sales_Data_3_Years"/>
  </cacheSource>
  <cacheFields count="13">
    <cacheField name="Transaction ID" numFmtId="0">
      <sharedItems containsBlank="1" count="31">
        <s v="001"/>
        <s v="002"/>
        <s v="003"/>
        <s v="004"/>
        <s v="005"/>
        <s v="006"/>
        <s v="007"/>
        <s v="008"/>
        <s v="009"/>
        <s v="010"/>
        <s v="011"/>
        <s v="012"/>
        <s v="013"/>
        <s v="014"/>
        <s v="015"/>
        <s v="016"/>
        <s v="017"/>
        <s v="018"/>
        <s v="019"/>
        <s v="020"/>
        <s v="021"/>
        <s v="022"/>
        <s v="023"/>
        <s v="024"/>
        <s v="025"/>
        <s v="026"/>
        <s v="027"/>
        <s v="028"/>
        <s v="029"/>
        <s v="030"/>
        <m/>
      </sharedItems>
    </cacheField>
    <cacheField name="Year" numFmtId="0">
      <sharedItems containsString="0" containsBlank="1" containsNumber="1" containsInteger="1" minValue="2022" maxValue="2024" count="4">
        <n v="2022"/>
        <n v="2023"/>
        <n v="2024"/>
        <m/>
      </sharedItems>
    </cacheField>
    <cacheField name="Date" numFmtId="0">
      <sharedItems containsString="0" containsBlank="1" containsNonDate="0" containsDate="1" minDate="2022-01-15T00:00:00" maxDate="2024-11-21T00:00:00" count="31">
        <d v="2022-01-15T00:00:00"/>
        <d v="2022-03-16T00:00:00"/>
        <d v="2022-04-17T00:00:00"/>
        <d v="2022-05-18T00:00:00"/>
        <d v="2022-06-19T00:00:00"/>
        <d v="2022-08-20T00:00:00"/>
        <d v="2022-09-21T00:00:00"/>
        <d v="2022-10-22T00:00:00"/>
        <d v="2022-12-23T00:00:00"/>
        <d v="2023-01-19T00:00:00"/>
        <d v="2023-02-20T00:00:00"/>
        <d v="2023-04-21T00:00:00"/>
        <d v="2023-05-22T00:00:00"/>
        <d v="2023-06-23T00:00:00"/>
        <d v="2023-07-24T00:00:00"/>
        <d v="2023-08-25T00:00:00"/>
        <d v="2023-09-26T00:00:00"/>
        <d v="2023-10-27T00:00:00"/>
        <d v="2023-11-28T00:00:00"/>
        <d v="2023-12-29T00:00:00"/>
        <d v="2024-02-12T00:00:00"/>
        <d v="2024-03-13T00:00:00"/>
        <d v="2024-04-14T00:00:00"/>
        <d v="2024-05-15T00:00:00"/>
        <d v="2024-06-16T00:00:00"/>
        <d v="2024-07-17T00:00:00"/>
        <d v="2024-08-18T00:00:00"/>
        <d v="2024-09-19T00:00:00"/>
        <d v="2024-10-20T00:00:00"/>
        <d v="2024-11-21T00:00:00"/>
        <m/>
      </sharedItems>
    </cacheField>
    <cacheField name="Product Category" numFmtId="0">
      <sharedItems containsBlank="1" count="5">
        <s v="Electronics"/>
        <s v="Clothing"/>
        <s v="Grocery"/>
        <s v="Home Appliances"/>
        <m/>
      </sharedItems>
    </cacheField>
    <cacheField name="Product" numFmtId="0">
      <sharedItems containsBlank="1" count="31">
        <s v="Smartphone"/>
        <s v="T-Shirt"/>
        <s v="Rice Bag"/>
        <s v="Mixer Grinder"/>
        <s v="Laptop"/>
        <s v="Jeans"/>
        <s v="Cooking Oil"/>
        <s v="Microwave"/>
        <s v="Tablet"/>
        <s v="Jacket"/>
        <s v="Sugar"/>
        <s v="Refrigerator"/>
        <s v="Smartwatch"/>
        <s v="Saree"/>
        <s v="Wheat Flour"/>
        <s v="Headphones"/>
        <s v="Shoes"/>
        <s v="Pulses"/>
        <s v="Iron Box"/>
        <s v="Bluetooth Speaker"/>
        <s v="Sweater"/>
        <s v="Tea Powder"/>
        <s v="Air Conditioner"/>
        <s v="Power Bank"/>
        <s v="Kurta"/>
        <s v="Salt"/>
        <s v="Water Purifier"/>
        <s v="Camera"/>
        <s v="Cap"/>
        <s v="Dry Fruits"/>
        <m/>
      </sharedItems>
    </cacheField>
    <cacheField name="Region" numFmtId="0">
      <sharedItems containsBlank="1" count="5">
        <s v="South"/>
        <s v="North"/>
        <s v="East"/>
        <s v="West"/>
        <m/>
      </sharedItems>
    </cacheField>
    <cacheField name="Salesperson" numFmtId="0">
      <sharedItems containsBlank="1" count="30">
        <s v="Ravi"/>
        <s v="Anita"/>
        <s v="Suresh"/>
        <s v="Neha"/>
        <s v="venu"/>
        <s v="Hari"/>
        <s v="Ramu"/>
        <s v="Mahesh"/>
        <s v="Madhu"/>
        <s v="Ramesh"/>
        <s v="Gopal"/>
        <s v="Sneha"/>
        <s v="Bhargav"/>
        <s v="Sunil"/>
        <s v="Pavani"/>
        <s v="Kumar"/>
        <s v="Shivaji"/>
        <s v="Venkat"/>
        <s v="Ram"/>
        <s v="Malvika"/>
        <s v="Bhegam"/>
        <s v="Somesh"/>
        <s v="Bhavi"/>
        <s v="Reddy"/>
        <s v="Anil"/>
        <s v="Supraja"/>
        <s v="Nehanvi"/>
        <s v="Ravivarma"/>
        <s v="Raju"/>
        <m/>
      </sharedItems>
    </cacheField>
    <cacheField name="Units Sold" numFmtId="0">
      <sharedItems containsString="0" containsBlank="1" containsNumber="1" containsInteger="1" minValue="3" maxValue="32" count="31"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m/>
      </sharedItems>
    </cacheField>
    <cacheField name="Unit Price" numFmtId="0">
      <sharedItems containsString="0" containsBlank="1" containsNumber="1" containsInteger="1" minValue="400" maxValue="15000" count="27">
        <n v="15000"/>
        <n v="800"/>
        <n v="1200"/>
        <n v="3500"/>
        <n v="5500"/>
        <n v="2000"/>
        <n v="900"/>
        <n v="1800"/>
        <n v="12000"/>
        <n v="600"/>
        <n v="4200"/>
        <n v="8000"/>
        <n v="5000"/>
        <n v="1100"/>
        <n v="3000"/>
        <n v="2500"/>
        <n v="950"/>
        <n v="2200"/>
        <n v="6500"/>
        <n v="2800"/>
        <n v="750"/>
        <n v="3800"/>
        <n v="3200"/>
        <n v="400"/>
        <n v="1600"/>
        <n v="4800"/>
        <m/>
      </sharedItems>
    </cacheField>
    <cacheField name="Total Cost" numFmtId="0">
      <sharedItems containsString="0" containsBlank="1" containsNumber="1" containsInteger="1" minValue="4200" maxValue="55000" count="26">
        <n v="45000"/>
        <n v="8000"/>
        <n v="6000"/>
        <n v="7000"/>
        <n v="55000"/>
        <n v="12000"/>
        <n v="7200"/>
        <n v="18000"/>
        <n v="48000"/>
        <n v="10500"/>
        <n v="42000"/>
        <n v="40000"/>
        <n v="10000"/>
        <n v="7700"/>
        <n v="8550"/>
        <n v="6600"/>
        <n v="13000"/>
        <n v="14000"/>
        <n v="4500"/>
        <n v="38000"/>
        <n v="14400"/>
        <n v="9600"/>
        <n v="16000"/>
        <n v="4200"/>
        <n v="8800"/>
        <m/>
      </sharedItems>
    </cacheField>
    <cacheField name="Profit" numFmtId="0">
      <sharedItems containsString="0" containsBlank="1" containsNumber="1" containsInteger="1" minValue="3500" maxValue="49500" count="29">
        <n v="30000"/>
        <n v="7200"/>
        <n v="4800"/>
        <n v="3500"/>
        <n v="49500"/>
        <n v="10000"/>
        <n v="6300"/>
        <n v="16200"/>
        <n v="36000"/>
        <n v="7000"/>
        <n v="6600"/>
        <n v="37800"/>
        <n v="32000"/>
        <n v="5000"/>
        <n v="15000"/>
        <n v="7500"/>
        <n v="7600"/>
        <n v="4400"/>
        <n v="6500"/>
        <n v="11200"/>
        <n v="3750"/>
        <n v="34200"/>
        <n v="12600"/>
        <n v="6400"/>
        <n v="5600"/>
        <n v="14400"/>
        <n v="43200"/>
        <n v="3600"/>
        <m/>
      </sharedItems>
    </cacheField>
    <cacheField name="Sales By Yeras" numFmtId="0">
      <sharedItems containsBlank="1" containsNumber="1" containsInteger="1" containsMixedTypes="1" count="7">
        <s v="Year=2022"/>
        <n v="287800"/>
        <s v="year=2023"/>
        <n v="637000"/>
        <m/>
        <s v="year=2024"/>
        <n v="601200"/>
      </sharedItems>
    </cacheField>
    <cacheField name="Total Sales" numFmtId="0">
      <sharedItems containsString="0" containsBlank="1" containsNumber="1" containsInteger="1" minValue="3200" maxValue="144000" count="30">
        <n v="45000"/>
        <n v="3200"/>
        <n v="6000"/>
        <n v="21000"/>
        <n v="38500"/>
        <n v="16000"/>
        <n v="8100"/>
        <n v="18000"/>
        <n v="132000"/>
        <n v="42000"/>
        <n v="7800"/>
        <n v="58800"/>
        <n v="120000"/>
        <n v="80000"/>
        <n v="18700"/>
        <n v="54000"/>
        <n v="47500"/>
        <n v="19000"/>
        <n v="46200"/>
        <n v="143000"/>
        <n v="64400"/>
        <n v="95000"/>
        <n v="46800"/>
        <n v="86400"/>
        <n v="11200"/>
        <n v="46400"/>
        <n v="144000"/>
        <n v="18600"/>
        <n v="70400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3.2819444444" refreshedBy="krish" recordCount="30">
  <cacheSource type="worksheet">
    <worksheetSource name="Table1"/>
  </cacheSource>
  <cacheFields count="11">
    <cacheField name="Transaction ID" numFmtId="0">
      <sharedItems count="30">
        <s v="001"/>
        <s v="002"/>
        <s v="003"/>
        <s v="004"/>
        <s v="005"/>
        <s v="006"/>
        <s v="007"/>
        <s v="008"/>
        <s v="009"/>
        <s v="010"/>
        <s v="011"/>
        <s v="012"/>
        <s v="013"/>
        <s v="014"/>
        <s v="015"/>
        <s v="016"/>
        <s v="017"/>
        <s v="018"/>
        <s v="019"/>
        <s v="020"/>
        <s v="021"/>
        <s v="022"/>
        <s v="023"/>
        <s v="024"/>
        <s v="025"/>
        <s v="026"/>
        <s v="027"/>
        <s v="028"/>
        <s v="029"/>
        <s v="030"/>
      </sharedItems>
    </cacheField>
    <cacheField name="Date" numFmtId="0">
      <sharedItems count="30">
        <s v="2022-01-15"/>
        <s v="2022-02-10"/>
        <s v="2022-03-05"/>
        <s v="2022-04-18"/>
        <s v="2022-06-22"/>
        <s v="2023-01-12"/>
        <s v="2023-02-27"/>
        <s v="2023-05-14"/>
        <s v="2023-07-30"/>
        <s v="2023-11-19"/>
        <s v="2024-01-08"/>
        <s v="2024-03-16"/>
        <s v="2024-05-25"/>
        <s v="2024-08-02"/>
        <s v="2024-10-11"/>
        <s v="2022-07-10"/>
        <s v="2022-09-21"/>
        <s v="2022-11-05"/>
        <s v="2023-03-09"/>
        <s v="2023-06-18"/>
        <s v="2023-09-12"/>
        <s v="2023-12-20"/>
        <s v="2024-02-14"/>
        <s v="2024-04-10"/>
        <s v="2024-06-19"/>
        <s v="2024-07-28"/>
        <s v="2024-09-05"/>
        <s v="2022-12-15"/>
        <s v="2023-08-08"/>
        <s v="2024-11-22"/>
      </sharedItems>
    </cacheField>
    <cacheField name="Product Category" numFmtId="0">
      <sharedItems count="4">
        <s v="Electronics"/>
        <s v="Clothing"/>
        <s v="Grocery"/>
        <s v="Home Appliances"/>
      </sharedItems>
    </cacheField>
    <cacheField name="Product" numFmtId="0">
      <sharedItems count="30">
        <s v="Smartphone"/>
        <s v="T-Shirt"/>
        <s v="Rice Bag"/>
        <s v="Mixer Grinder"/>
        <s v="Laptop"/>
        <s v="Jeans"/>
        <s v="Cooking Oil"/>
        <s v="Microwave"/>
        <s v="Tablet"/>
        <s v="Jacket"/>
        <s v="Sugar"/>
        <s v="Refrigerator"/>
        <s v="Smartwatch"/>
        <s v="Saree"/>
        <s v="Wheat Flour"/>
        <s v="Headphones"/>
        <s v="Shoes"/>
        <s v="Pulses"/>
        <s v="Iron Box"/>
        <s v="Bluetooth Speaker"/>
        <s v="Sweater"/>
        <s v="Tea Powder"/>
        <s v="Air Conditioner"/>
        <s v="Power Bank"/>
        <s v="Kurta"/>
        <s v="Salt"/>
        <s v="Water Purifier"/>
        <s v="Camera"/>
        <s v="Cap"/>
        <s v="Dry Fruits"/>
      </sharedItems>
    </cacheField>
    <cacheField name="Region" numFmtId="0">
      <sharedItems count="4">
        <s v="South"/>
        <s v="North"/>
        <s v="East"/>
        <s v="West"/>
      </sharedItems>
    </cacheField>
    <cacheField name="Salesperson" numFmtId="0">
      <sharedItems count="29">
        <s v="Ravi"/>
        <s v="Anita"/>
        <s v="Suresh"/>
        <s v="Neha"/>
        <s v="venu"/>
        <s v="Hari"/>
        <s v="Ramu"/>
        <s v="Mahesh"/>
        <s v="Madhu"/>
        <s v="Ramesh"/>
        <s v="Gopal"/>
        <s v="Sneha"/>
        <s v="Bhargav"/>
        <s v="Sunil"/>
        <s v="Pavani"/>
        <s v="Kumar"/>
        <s v="Shivaji"/>
        <s v="Venkat"/>
        <s v="Ram"/>
        <s v="Malvika"/>
        <s v="Bhegam"/>
        <s v="Somesh"/>
        <s v="Bhavi"/>
        <s v="Reddy"/>
        <s v="Anil"/>
        <s v="Supraja"/>
        <s v="Nehanvi"/>
        <s v="Ravivarma"/>
        <s v="Raju"/>
      </sharedItems>
    </cacheField>
    <cacheField name="Units Sold" numFmtId="0">
      <sharedItems containsSemiMixedTypes="0" containsString="0" containsNumber="1" containsInteger="1" minValue="0" maxValue="32" count="30"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</sharedItems>
    </cacheField>
    <cacheField name="Unit Price" numFmtId="0">
      <sharedItems containsSemiMixedTypes="0" containsString="0" containsNumber="1" containsInteger="1" minValue="0" maxValue="15000" count="26">
        <n v="15000"/>
        <n v="800"/>
        <n v="1200"/>
        <n v="3500"/>
        <n v="5500"/>
        <n v="2000"/>
        <n v="900"/>
        <n v="1800"/>
        <n v="12000"/>
        <n v="600"/>
        <n v="4200"/>
        <n v="8000"/>
        <n v="5000"/>
        <n v="1100"/>
        <n v="3000"/>
        <n v="2500"/>
        <n v="950"/>
        <n v="2200"/>
        <n v="6500"/>
        <n v="2800"/>
        <n v="750"/>
        <n v="3800"/>
        <n v="3200"/>
        <n v="400"/>
        <n v="1600"/>
        <n v="4800"/>
      </sharedItems>
    </cacheField>
    <cacheField name="Total Cost" numFmtId="0">
      <sharedItems containsSemiMixedTypes="0" containsString="0" containsNumber="1" containsInteger="1" minValue="0" maxValue="55000" count="25">
        <n v="45000"/>
        <n v="8000"/>
        <n v="6000"/>
        <n v="7000"/>
        <n v="55000"/>
        <n v="12000"/>
        <n v="7200"/>
        <n v="18000"/>
        <n v="48000"/>
        <n v="10500"/>
        <n v="42000"/>
        <n v="40000"/>
        <n v="10000"/>
        <n v="7700"/>
        <n v="8550"/>
        <n v="6600"/>
        <n v="13000"/>
        <n v="14000"/>
        <n v="4500"/>
        <n v="38000"/>
        <n v="14400"/>
        <n v="9600"/>
        <n v="16000"/>
        <n v="4200"/>
        <n v="8800"/>
      </sharedItems>
    </cacheField>
    <cacheField name="Profit" numFmtId="0">
      <sharedItems containsSemiMixedTypes="0" containsString="0" containsNumber="1" containsInteger="1" minValue="0" maxValue="49500" count="28">
        <n v="30000"/>
        <n v="7200"/>
        <n v="4800"/>
        <n v="3500"/>
        <n v="49500"/>
        <n v="10000"/>
        <n v="6300"/>
        <n v="16200"/>
        <n v="36000"/>
        <n v="7000"/>
        <n v="6600"/>
        <n v="37800"/>
        <n v="32000"/>
        <n v="5000"/>
        <n v="15000"/>
        <n v="7500"/>
        <n v="7600"/>
        <n v="4400"/>
        <n v="6500"/>
        <n v="11200"/>
        <n v="3750"/>
        <n v="34200"/>
        <n v="12600"/>
        <n v="6400"/>
        <n v="5600"/>
        <n v="14400"/>
        <n v="43200"/>
        <n v="3600"/>
      </sharedItems>
    </cacheField>
    <cacheField name="Total Sales" numFmtId="0">
      <sharedItems containsSemiMixedTypes="0" containsString="0" containsNumber="1" containsInteger="1" minValue="0" maxValue="144000" count="29">
        <n v="45000"/>
        <n v="3200"/>
        <n v="6000"/>
        <n v="21000"/>
        <n v="38500"/>
        <n v="16000"/>
        <n v="8100"/>
        <n v="18000"/>
        <n v="132000"/>
        <n v="42000"/>
        <n v="7800"/>
        <n v="58800"/>
        <n v="120000"/>
        <n v="80000"/>
        <n v="18700"/>
        <n v="54000"/>
        <n v="47500"/>
        <n v="19000"/>
        <n v="46200"/>
        <n v="143000"/>
        <n v="64400"/>
        <n v="95000"/>
        <n v="46800"/>
        <n v="86400"/>
        <n v="11200"/>
        <n v="46400"/>
        <n v="144000"/>
        <n v="18600"/>
        <n v="704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1"/>
    <x v="1"/>
    <x v="1"/>
    <x v="1"/>
  </r>
  <r>
    <x v="2"/>
    <x v="0"/>
    <x v="2"/>
    <x v="2"/>
    <x v="2"/>
    <x v="2"/>
    <x v="2"/>
    <x v="2"/>
    <x v="2"/>
    <x v="2"/>
    <x v="2"/>
    <x v="2"/>
    <x v="2"/>
  </r>
  <r>
    <x v="3"/>
    <x v="0"/>
    <x v="3"/>
    <x v="3"/>
    <x v="3"/>
    <x v="3"/>
    <x v="3"/>
    <x v="3"/>
    <x v="3"/>
    <x v="3"/>
    <x v="3"/>
    <x v="3"/>
    <x v="3"/>
  </r>
  <r>
    <x v="4"/>
    <x v="0"/>
    <x v="4"/>
    <x v="0"/>
    <x v="4"/>
    <x v="0"/>
    <x v="4"/>
    <x v="4"/>
    <x v="4"/>
    <x v="4"/>
    <x v="4"/>
    <x v="4"/>
    <x v="4"/>
  </r>
  <r>
    <x v="5"/>
    <x v="0"/>
    <x v="5"/>
    <x v="1"/>
    <x v="5"/>
    <x v="1"/>
    <x v="5"/>
    <x v="5"/>
    <x v="5"/>
    <x v="5"/>
    <x v="5"/>
    <x v="5"/>
    <x v="5"/>
  </r>
  <r>
    <x v="6"/>
    <x v="0"/>
    <x v="6"/>
    <x v="2"/>
    <x v="6"/>
    <x v="2"/>
    <x v="6"/>
    <x v="6"/>
    <x v="6"/>
    <x v="6"/>
    <x v="6"/>
    <x v="6"/>
    <x v="6"/>
  </r>
  <r>
    <x v="7"/>
    <x v="0"/>
    <x v="7"/>
    <x v="3"/>
    <x v="7"/>
    <x v="3"/>
    <x v="7"/>
    <x v="7"/>
    <x v="7"/>
    <x v="7"/>
    <x v="7"/>
    <x v="4"/>
    <x v="7"/>
  </r>
  <r>
    <x v="8"/>
    <x v="0"/>
    <x v="8"/>
    <x v="0"/>
    <x v="8"/>
    <x v="0"/>
    <x v="8"/>
    <x v="8"/>
    <x v="8"/>
    <x v="8"/>
    <x v="8"/>
    <x v="4"/>
    <x v="8"/>
  </r>
  <r>
    <x v="9"/>
    <x v="1"/>
    <x v="9"/>
    <x v="1"/>
    <x v="9"/>
    <x v="1"/>
    <x v="9"/>
    <x v="9"/>
    <x v="3"/>
    <x v="9"/>
    <x v="9"/>
    <x v="4"/>
    <x v="9"/>
  </r>
  <r>
    <x v="10"/>
    <x v="1"/>
    <x v="10"/>
    <x v="2"/>
    <x v="10"/>
    <x v="2"/>
    <x v="10"/>
    <x v="10"/>
    <x v="9"/>
    <x v="6"/>
    <x v="10"/>
    <x v="4"/>
    <x v="10"/>
  </r>
  <r>
    <x v="11"/>
    <x v="1"/>
    <x v="11"/>
    <x v="3"/>
    <x v="11"/>
    <x v="3"/>
    <x v="11"/>
    <x v="11"/>
    <x v="10"/>
    <x v="10"/>
    <x v="11"/>
    <x v="4"/>
    <x v="11"/>
  </r>
  <r>
    <x v="12"/>
    <x v="1"/>
    <x v="12"/>
    <x v="0"/>
    <x v="12"/>
    <x v="0"/>
    <x v="12"/>
    <x v="12"/>
    <x v="11"/>
    <x v="11"/>
    <x v="12"/>
    <x v="4"/>
    <x v="12"/>
  </r>
  <r>
    <x v="13"/>
    <x v="1"/>
    <x v="13"/>
    <x v="1"/>
    <x v="13"/>
    <x v="1"/>
    <x v="13"/>
    <x v="13"/>
    <x v="12"/>
    <x v="12"/>
    <x v="13"/>
    <x v="4"/>
    <x v="13"/>
  </r>
  <r>
    <x v="14"/>
    <x v="1"/>
    <x v="14"/>
    <x v="2"/>
    <x v="14"/>
    <x v="2"/>
    <x v="14"/>
    <x v="14"/>
    <x v="13"/>
    <x v="13"/>
    <x v="10"/>
    <x v="4"/>
    <x v="14"/>
  </r>
  <r>
    <x v="15"/>
    <x v="1"/>
    <x v="15"/>
    <x v="0"/>
    <x v="15"/>
    <x v="0"/>
    <x v="15"/>
    <x v="15"/>
    <x v="14"/>
    <x v="7"/>
    <x v="14"/>
    <x v="4"/>
    <x v="15"/>
  </r>
  <r>
    <x v="16"/>
    <x v="1"/>
    <x v="16"/>
    <x v="1"/>
    <x v="16"/>
    <x v="1"/>
    <x v="16"/>
    <x v="16"/>
    <x v="15"/>
    <x v="12"/>
    <x v="15"/>
    <x v="4"/>
    <x v="16"/>
  </r>
  <r>
    <x v="17"/>
    <x v="1"/>
    <x v="17"/>
    <x v="2"/>
    <x v="17"/>
    <x v="2"/>
    <x v="17"/>
    <x v="17"/>
    <x v="16"/>
    <x v="14"/>
    <x v="16"/>
    <x v="4"/>
    <x v="17"/>
  </r>
  <r>
    <x v="18"/>
    <x v="1"/>
    <x v="18"/>
    <x v="3"/>
    <x v="18"/>
    <x v="3"/>
    <x v="18"/>
    <x v="18"/>
    <x v="17"/>
    <x v="15"/>
    <x v="17"/>
    <x v="4"/>
    <x v="18"/>
  </r>
  <r>
    <x v="19"/>
    <x v="1"/>
    <x v="19"/>
    <x v="0"/>
    <x v="19"/>
    <x v="0"/>
    <x v="19"/>
    <x v="19"/>
    <x v="18"/>
    <x v="16"/>
    <x v="18"/>
    <x v="4"/>
    <x v="19"/>
  </r>
  <r>
    <x v="20"/>
    <x v="2"/>
    <x v="20"/>
    <x v="1"/>
    <x v="20"/>
    <x v="1"/>
    <x v="20"/>
    <x v="20"/>
    <x v="19"/>
    <x v="17"/>
    <x v="19"/>
    <x v="4"/>
    <x v="20"/>
  </r>
  <r>
    <x v="21"/>
    <x v="2"/>
    <x v="21"/>
    <x v="2"/>
    <x v="21"/>
    <x v="2"/>
    <x v="21"/>
    <x v="21"/>
    <x v="20"/>
    <x v="18"/>
    <x v="20"/>
    <x v="4"/>
    <x v="7"/>
  </r>
  <r>
    <x v="22"/>
    <x v="2"/>
    <x v="22"/>
    <x v="3"/>
    <x v="22"/>
    <x v="3"/>
    <x v="22"/>
    <x v="22"/>
    <x v="21"/>
    <x v="19"/>
    <x v="21"/>
    <x v="4"/>
    <x v="21"/>
  </r>
  <r>
    <x v="23"/>
    <x v="2"/>
    <x v="23"/>
    <x v="0"/>
    <x v="23"/>
    <x v="0"/>
    <x v="23"/>
    <x v="23"/>
    <x v="7"/>
    <x v="20"/>
    <x v="22"/>
    <x v="4"/>
    <x v="22"/>
  </r>
  <r>
    <x v="24"/>
    <x v="2"/>
    <x v="24"/>
    <x v="1"/>
    <x v="24"/>
    <x v="1"/>
    <x v="24"/>
    <x v="24"/>
    <x v="22"/>
    <x v="21"/>
    <x v="23"/>
    <x v="4"/>
    <x v="23"/>
  </r>
  <r>
    <x v="25"/>
    <x v="2"/>
    <x v="25"/>
    <x v="2"/>
    <x v="25"/>
    <x v="2"/>
    <x v="25"/>
    <x v="25"/>
    <x v="23"/>
    <x v="2"/>
    <x v="24"/>
    <x v="4"/>
    <x v="24"/>
  </r>
  <r>
    <x v="26"/>
    <x v="2"/>
    <x v="26"/>
    <x v="3"/>
    <x v="26"/>
    <x v="3"/>
    <x v="26"/>
    <x v="26"/>
    <x v="24"/>
    <x v="22"/>
    <x v="25"/>
    <x v="4"/>
    <x v="25"/>
  </r>
  <r>
    <x v="27"/>
    <x v="2"/>
    <x v="27"/>
    <x v="0"/>
    <x v="27"/>
    <x v="0"/>
    <x v="27"/>
    <x v="27"/>
    <x v="25"/>
    <x v="8"/>
    <x v="26"/>
    <x v="4"/>
    <x v="26"/>
  </r>
  <r>
    <x v="28"/>
    <x v="2"/>
    <x v="28"/>
    <x v="1"/>
    <x v="28"/>
    <x v="1"/>
    <x v="14"/>
    <x v="28"/>
    <x v="9"/>
    <x v="23"/>
    <x v="27"/>
    <x v="4"/>
    <x v="27"/>
  </r>
  <r>
    <x v="29"/>
    <x v="2"/>
    <x v="29"/>
    <x v="2"/>
    <x v="29"/>
    <x v="2"/>
    <x v="28"/>
    <x v="29"/>
    <x v="17"/>
    <x v="24"/>
    <x v="10"/>
    <x v="4"/>
    <x v="28"/>
  </r>
  <r>
    <x v="30"/>
    <x v="3"/>
    <x v="30"/>
    <x v="4"/>
    <x v="30"/>
    <x v="4"/>
    <x v="29"/>
    <x v="30"/>
    <x v="26"/>
    <x v="25"/>
    <x v="28"/>
    <x v="4"/>
    <x v="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  <x v="2"/>
    <x v="2"/>
  </r>
  <r>
    <x v="3"/>
    <x v="3"/>
    <x v="3"/>
    <x v="3"/>
    <x v="3"/>
    <x v="3"/>
    <x v="3"/>
    <x v="3"/>
    <x v="3"/>
    <x v="3"/>
    <x v="3"/>
  </r>
  <r>
    <x v="4"/>
    <x v="4"/>
    <x v="0"/>
    <x v="4"/>
    <x v="0"/>
    <x v="4"/>
    <x v="4"/>
    <x v="4"/>
    <x v="4"/>
    <x v="4"/>
    <x v="4"/>
  </r>
  <r>
    <x v="5"/>
    <x v="5"/>
    <x v="1"/>
    <x v="5"/>
    <x v="1"/>
    <x v="5"/>
    <x v="5"/>
    <x v="5"/>
    <x v="5"/>
    <x v="5"/>
    <x v="5"/>
  </r>
  <r>
    <x v="6"/>
    <x v="6"/>
    <x v="2"/>
    <x v="6"/>
    <x v="2"/>
    <x v="6"/>
    <x v="6"/>
    <x v="6"/>
    <x v="6"/>
    <x v="6"/>
    <x v="6"/>
  </r>
  <r>
    <x v="7"/>
    <x v="7"/>
    <x v="3"/>
    <x v="7"/>
    <x v="3"/>
    <x v="7"/>
    <x v="7"/>
    <x v="7"/>
    <x v="7"/>
    <x v="7"/>
    <x v="7"/>
  </r>
  <r>
    <x v="8"/>
    <x v="8"/>
    <x v="0"/>
    <x v="8"/>
    <x v="0"/>
    <x v="8"/>
    <x v="8"/>
    <x v="8"/>
    <x v="8"/>
    <x v="8"/>
    <x v="8"/>
  </r>
  <r>
    <x v="9"/>
    <x v="9"/>
    <x v="1"/>
    <x v="9"/>
    <x v="1"/>
    <x v="9"/>
    <x v="9"/>
    <x v="3"/>
    <x v="9"/>
    <x v="9"/>
    <x v="9"/>
  </r>
  <r>
    <x v="10"/>
    <x v="10"/>
    <x v="2"/>
    <x v="10"/>
    <x v="2"/>
    <x v="10"/>
    <x v="10"/>
    <x v="9"/>
    <x v="6"/>
    <x v="10"/>
    <x v="10"/>
  </r>
  <r>
    <x v="11"/>
    <x v="11"/>
    <x v="3"/>
    <x v="11"/>
    <x v="3"/>
    <x v="11"/>
    <x v="11"/>
    <x v="10"/>
    <x v="10"/>
    <x v="11"/>
    <x v="11"/>
  </r>
  <r>
    <x v="12"/>
    <x v="12"/>
    <x v="0"/>
    <x v="12"/>
    <x v="0"/>
    <x v="12"/>
    <x v="12"/>
    <x v="11"/>
    <x v="11"/>
    <x v="12"/>
    <x v="12"/>
  </r>
  <r>
    <x v="13"/>
    <x v="13"/>
    <x v="1"/>
    <x v="13"/>
    <x v="1"/>
    <x v="13"/>
    <x v="13"/>
    <x v="12"/>
    <x v="12"/>
    <x v="13"/>
    <x v="13"/>
  </r>
  <r>
    <x v="14"/>
    <x v="14"/>
    <x v="2"/>
    <x v="14"/>
    <x v="2"/>
    <x v="14"/>
    <x v="14"/>
    <x v="13"/>
    <x v="13"/>
    <x v="10"/>
    <x v="14"/>
  </r>
  <r>
    <x v="15"/>
    <x v="15"/>
    <x v="0"/>
    <x v="15"/>
    <x v="0"/>
    <x v="15"/>
    <x v="15"/>
    <x v="14"/>
    <x v="7"/>
    <x v="14"/>
    <x v="15"/>
  </r>
  <r>
    <x v="16"/>
    <x v="16"/>
    <x v="1"/>
    <x v="16"/>
    <x v="1"/>
    <x v="16"/>
    <x v="16"/>
    <x v="15"/>
    <x v="12"/>
    <x v="15"/>
    <x v="16"/>
  </r>
  <r>
    <x v="17"/>
    <x v="17"/>
    <x v="2"/>
    <x v="17"/>
    <x v="2"/>
    <x v="17"/>
    <x v="17"/>
    <x v="16"/>
    <x v="14"/>
    <x v="16"/>
    <x v="17"/>
  </r>
  <r>
    <x v="18"/>
    <x v="18"/>
    <x v="3"/>
    <x v="18"/>
    <x v="3"/>
    <x v="18"/>
    <x v="18"/>
    <x v="17"/>
    <x v="15"/>
    <x v="17"/>
    <x v="18"/>
  </r>
  <r>
    <x v="19"/>
    <x v="19"/>
    <x v="0"/>
    <x v="19"/>
    <x v="0"/>
    <x v="19"/>
    <x v="19"/>
    <x v="18"/>
    <x v="16"/>
    <x v="18"/>
    <x v="19"/>
  </r>
  <r>
    <x v="20"/>
    <x v="20"/>
    <x v="1"/>
    <x v="20"/>
    <x v="1"/>
    <x v="20"/>
    <x v="20"/>
    <x v="19"/>
    <x v="17"/>
    <x v="19"/>
    <x v="20"/>
  </r>
  <r>
    <x v="21"/>
    <x v="21"/>
    <x v="2"/>
    <x v="21"/>
    <x v="2"/>
    <x v="21"/>
    <x v="21"/>
    <x v="20"/>
    <x v="18"/>
    <x v="20"/>
    <x v="7"/>
  </r>
  <r>
    <x v="22"/>
    <x v="22"/>
    <x v="3"/>
    <x v="22"/>
    <x v="3"/>
    <x v="22"/>
    <x v="22"/>
    <x v="21"/>
    <x v="19"/>
    <x v="21"/>
    <x v="21"/>
  </r>
  <r>
    <x v="23"/>
    <x v="23"/>
    <x v="0"/>
    <x v="23"/>
    <x v="0"/>
    <x v="23"/>
    <x v="23"/>
    <x v="7"/>
    <x v="20"/>
    <x v="22"/>
    <x v="22"/>
  </r>
  <r>
    <x v="24"/>
    <x v="24"/>
    <x v="1"/>
    <x v="24"/>
    <x v="1"/>
    <x v="24"/>
    <x v="24"/>
    <x v="22"/>
    <x v="21"/>
    <x v="23"/>
    <x v="23"/>
  </r>
  <r>
    <x v="25"/>
    <x v="25"/>
    <x v="2"/>
    <x v="25"/>
    <x v="2"/>
    <x v="25"/>
    <x v="25"/>
    <x v="23"/>
    <x v="2"/>
    <x v="24"/>
    <x v="24"/>
  </r>
  <r>
    <x v="26"/>
    <x v="26"/>
    <x v="3"/>
    <x v="26"/>
    <x v="3"/>
    <x v="26"/>
    <x v="26"/>
    <x v="24"/>
    <x v="22"/>
    <x v="25"/>
    <x v="25"/>
  </r>
  <r>
    <x v="27"/>
    <x v="27"/>
    <x v="0"/>
    <x v="27"/>
    <x v="0"/>
    <x v="27"/>
    <x v="27"/>
    <x v="25"/>
    <x v="8"/>
    <x v="26"/>
    <x v="26"/>
  </r>
  <r>
    <x v="28"/>
    <x v="28"/>
    <x v="1"/>
    <x v="28"/>
    <x v="1"/>
    <x v="14"/>
    <x v="28"/>
    <x v="9"/>
    <x v="23"/>
    <x v="27"/>
    <x v="27"/>
  </r>
  <r>
    <x v="29"/>
    <x v="29"/>
    <x v="2"/>
    <x v="29"/>
    <x v="2"/>
    <x v="28"/>
    <x v="29"/>
    <x v="17"/>
    <x v="24"/>
    <x v="10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8" firstHeaderRow="1" firstDataRow="1" firstDataCol="1"/>
  <pivotFields count="13"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compact="0" multipleItemSelectionAllowed="1" showAll="0">
      <items count="5">
        <item x="0"/>
        <item x="1"/>
        <item x="2"/>
        <item n="k" x="3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2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A7:AB13" firstHeaderRow="1" firstDataRow="1" firstDataCol="1"/>
  <pivotFields count="11"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measureFilter="1"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 count="1">
    <field x="3"/>
  </rowFields>
  <rowItems count="6">
    <i>
      <x v="8"/>
    </i>
    <i>
      <x v="12"/>
    </i>
    <i>
      <x v="19"/>
    </i>
    <i>
      <x v="22"/>
    </i>
    <i>
      <x v="27"/>
    </i>
    <i t="grand">
      <x/>
    </i>
  </rowItems>
  <colItems count="1">
    <i/>
  </colItems>
  <dataFields count="1">
    <dataField name="Sum of Total Sales" fld="10" baseField="0" baseItem="0"/>
  </dataFields>
  <pivotTableStyleInfo name="PivotStyleLight16" showRowHeaders="1" showColHeaders="1" showLastColumn="1"/>
  <filters count="1">
    <filter evalOrder="-1" fld="3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M8:N39" firstHeaderRow="1" firstDataRow="1" firstDataCol="1"/>
  <pivotFields count="13"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multipleItemSelectionAllowed="1" showAll="0">
      <items count="5">
        <item x="0"/>
        <item x="1"/>
        <item x="2"/>
        <item n="k" x="3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6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Units Sold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J5:K37" firstHeaderRow="1" firstDataRow="1" firstDataCol="1"/>
  <pivotFields count="13"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multipleItemSelectionAllowed="1" showAll="0">
      <items count="5">
        <item x="0"/>
        <item x="1"/>
        <item x="2"/>
        <item n="k" x="3"/>
        <item t="default"/>
      </items>
    </pivotField>
    <pivotField axis="axisRow"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2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Total Sales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2">
  <location ref="F5:G11" firstHeaderRow="1" firstDataRow="1" firstDataCol="1"/>
  <pivotFields count="13"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multipleItemSelectionAllowed="1" showAll="0">
      <items count="5">
        <item x="0"/>
        <item x="1"/>
        <item x="2"/>
        <item n="k" x="3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2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13" name="PivotTable29"/>
  </pivotTables>
  <data>
    <tabular pivotCacheId="1">
      <items count="31">
        <i x="22" s="1"/>
        <i x="19" s="1"/>
        <i x="27" s="1"/>
        <i x="28" s="1"/>
        <i x="6" s="1"/>
        <i x="29" s="1"/>
        <i x="15" s="1"/>
        <i x="18" s="1"/>
        <i x="9" s="1"/>
        <i x="5" s="1"/>
        <i x="24" s="1"/>
        <i x="4" s="1"/>
        <i x="7" s="1"/>
        <i x="3" s="1"/>
        <i x="23" s="1"/>
        <i x="17" s="1"/>
        <i x="11" s="1"/>
        <i x="2" s="1"/>
        <i x="25" s="1"/>
        <i x="13" s="1"/>
        <i x="16" s="1"/>
        <i x="0" s="1"/>
        <i x="12" s="1"/>
        <i x="10" s="1"/>
        <i x="20" s="1"/>
        <i x="8" s="1"/>
        <i x="21" s="1"/>
        <i x="1" s="1"/>
        <i x="26" s="1"/>
        <i x="14" s="1"/>
        <i x="30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13" name="PivotTable17"/>
    <pivotTable tabId="13" name="PivotTable29"/>
    <pivotTable tabId="13" name="PivotTable2"/>
    <pivotTable tabId="13" name="PivotTable1"/>
  </pivotTables>
  <data>
    <tabular pivotCacheId="1">
      <items count="4">
        <i x="0" s="1"/>
        <i x="1" s="1"/>
        <i x="2" s="1"/>
        <i x="3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person4" sourceName="Salesperson">
  <pivotTables>
    <pivotTable tabId="13" name="PivotTable17"/>
    <pivotTable tabId="13" name="PivotTable29"/>
    <pivotTable tabId="13" name="PivotTable2"/>
    <pivotTable tabId="13" name="PivotTable1"/>
  </pivotTables>
  <data>
    <tabular pivotCacheId="1">
      <items count="30">
        <i x="24" s="1"/>
        <i x="1" s="1"/>
        <i x="12" s="1"/>
        <i x="22" s="1"/>
        <i x="20" s="1"/>
        <i x="10" s="1"/>
        <i x="5" s="1"/>
        <i x="15" s="1"/>
        <i x="8" s="1"/>
        <i x="7" s="1"/>
        <i x="19" s="1"/>
        <i x="3" s="1"/>
        <i x="26" s="1"/>
        <i x="14" s="1"/>
        <i x="28" s="1"/>
        <i x="18" s="1"/>
        <i x="9" s="1"/>
        <i x="6" s="1"/>
        <i x="0" s="1"/>
        <i x="27" s="1"/>
        <i x="23" s="1"/>
        <i x="16" s="1"/>
        <i x="11" s="1"/>
        <i x="21" s="1"/>
        <i x="13" s="1"/>
        <i x="25" s="1"/>
        <i x="2" s="1"/>
        <i x="17" s="1"/>
        <i x="4" s="1"/>
        <i x="29" s="1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3" sourceName="Region">
  <pivotTables>
    <pivotTable tabId="13" name="PivotTable17"/>
    <pivotTable tabId="13" name="PivotTable29"/>
    <pivotTable tabId="13" name="PivotTable2"/>
    <pivotTable tabId="13" name="PivotTable1"/>
  </pivotTables>
  <data>
    <tabular pivotCacheId="1">
      <items count="5">
        <i x="2" s="1"/>
        <i x="1" s="1"/>
        <i x="0" s="1"/>
        <i x="3" s="1"/>
        <i x="4" s="1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2" sourceName="Product Category">
  <pivotTables>
    <pivotTable tabId="13" name="PivotTable17"/>
    <pivotTable tabId="13" name="PivotTable29"/>
    <pivotTable tabId="13" name="PivotTable2"/>
    <pivotTable tabId="13" name="PivotTable1"/>
  </pivotTables>
  <data>
    <tabular pivotCacheId="1">
      <items count="5">
        <i x="1" s="1"/>
        <i x="0" s="1"/>
        <i x="2" s="1"/>
        <i x="3" s="1"/>
        <i x="4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alesperson 4" cache="Slicer_Salesperson4" caption="Salesperson" startItem="10" style="SlicerStyleDark3" rowHeight="225425"/>
  <slicer name="Region" cache="Slicer_Region3" caption="Region" columnCount="2" style="SlicerStyleDark3" rowHeight="225425"/>
  <slicer name="Product Category" cache="Slicer_Product_Category2" caption="Product Category" style="SlicerStyleDark3" rowHeight="225425"/>
  <slicer name="Year 1" cache="Slicer_Year" caption="Year" style="SlicerStyleDark3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" caption="Year" style="SlicerStyleDark4" rowHeight="225425"/>
  <slicer name="Product Category 1" cache="Slicer_Product_Category2" caption="Product Category" style="SlicerStyleDark4" rowHeight="225425"/>
  <slicer name="Region 2" cache="Slicer_Region3" caption="Region" style="SlicerStyleDark4" rowHeight="225425"/>
  <slicer name="Salesperson" cache="Slicer_Salesperson4" caption="Salesperson" startItem="7" style="SlicerStyleDark4" rowHeight="225425"/>
  <slicer name="Product" cache="Slicer_Product" caption="Product" startItem="3" style="SlicerStyleDark4" rowHeight="225425"/>
</slicers>
</file>

<file path=xl/tables/table1.xml><?xml version="1.0" encoding="utf-8"?>
<table xmlns="http://schemas.openxmlformats.org/spreadsheetml/2006/main" id="1" name="Table1" displayName="Table1" ref="A1:M31" totalsRowShown="0">
  <autoFilter xmlns:etc="http://www.wps.cn/officeDocument/2017/etCustomData" ref="A1:M31" etc:filterBottomFollowUsedRange="0"/>
  <tableColumns count="13">
    <tableColumn id="1" name="Transaction ID"/>
    <tableColumn id="12" name="Year"/>
    <tableColumn id="2" name="Date"/>
    <tableColumn id="3" name="Product Category"/>
    <tableColumn id="4" name="Product"/>
    <tableColumn id="5" name="Region"/>
    <tableColumn id="6" name="Salesperson"/>
    <tableColumn id="7" name="Units Sold"/>
    <tableColumn id="8" name="Unit Price"/>
    <tableColumn id="9" name="Total Cost"/>
    <tableColumn id="10" name="Profit">
      <calculatedColumnFormula>SUM(J2-I2)</calculatedColumnFormula>
    </tableColumn>
    <tableColumn id="13" name="Sales By Yeras"/>
    <tableColumn id="11" name="Total Sales" dataDxfId="0">
      <calculatedColumnFormula>SUM(I2*H2)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N4:N12" totalsRowShown="0">
  <autoFilter xmlns:etc="http://www.wps.cn/officeDocument/2017/etCustomData" ref="N4:N12" etc:filterBottomFollowUsedRange="0"/>
  <tableColumns count="1">
    <tableColumn id="1" name="Grand Tot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N13:N14" totalsRowShown="0">
  <autoFilter xmlns:etc="http://www.wps.cn/officeDocument/2017/etCustomData" ref="N13:N14" etc:filterBottomFollowUsedRange="0"/>
  <tableColumns count="1">
    <tableColumn id="1" name="Unit sold" dataDxfId="1">
      <calculatedColumnFormula>SUM(H2:H31)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N47"/>
  <sheetViews>
    <sheetView zoomScale="68" zoomScaleNormal="68" topLeftCell="J1" workbookViewId="0">
      <selection activeCell="AI23" sqref="AI23"/>
    </sheetView>
  </sheetViews>
  <sheetFormatPr defaultColWidth="8.88888888888889" defaultRowHeight="14.4"/>
  <cols>
    <col min="1" max="1" width="11.6666666666667"/>
    <col min="2" max="2" width="19"/>
    <col min="3" max="3" width="18.5555555555556"/>
    <col min="6" max="6" width="11.6666666666667"/>
    <col min="7" max="8" width="19"/>
    <col min="10" max="10" width="11.6666666666667"/>
    <col min="11" max="11" width="17.8888888888889"/>
    <col min="12" max="12" width="17.4444444444444"/>
    <col min="13" max="13" width="13.8888888888889"/>
    <col min="14" max="14" width="17.4444444444444"/>
  </cols>
  <sheetData>
    <row r="3" spans="1:40">
      <c r="A3" t="s">
        <v>0</v>
      </c>
      <c r="B3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4"/>
      <c r="AM3" s="4"/>
      <c r="AN3" s="4"/>
    </row>
    <row r="4" spans="1:40">
      <c r="A4">
        <v>2022</v>
      </c>
      <c r="B4">
        <v>287800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4"/>
      <c r="AM4" s="4"/>
      <c r="AN4" s="4"/>
    </row>
    <row r="5" spans="1:40">
      <c r="A5">
        <v>2023</v>
      </c>
      <c r="B5">
        <v>637000</v>
      </c>
      <c r="E5" s="3"/>
      <c r="F5" t="s">
        <v>2</v>
      </c>
      <c r="G5" t="s">
        <v>1</v>
      </c>
      <c r="I5" s="3"/>
      <c r="J5" t="s">
        <v>3</v>
      </c>
      <c r="K5" t="s">
        <v>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4"/>
      <c r="AM5" s="4"/>
      <c r="AN5" s="4"/>
    </row>
    <row r="6" spans="1:40">
      <c r="A6">
        <v>2024</v>
      </c>
      <c r="B6">
        <v>601200</v>
      </c>
      <c r="E6" s="3"/>
      <c r="F6" t="s">
        <v>5</v>
      </c>
      <c r="G6">
        <v>723300</v>
      </c>
      <c r="I6" s="3"/>
      <c r="J6" s="1">
        <v>44576</v>
      </c>
      <c r="K6">
        <v>45000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4"/>
      <c r="AM6" s="4"/>
      <c r="AN6" s="4"/>
    </row>
    <row r="7" spans="1:40">
      <c r="A7" t="s">
        <v>6</v>
      </c>
      <c r="B7"/>
      <c r="E7" s="3"/>
      <c r="F7" t="s">
        <v>7</v>
      </c>
      <c r="G7">
        <v>358100</v>
      </c>
      <c r="I7" s="3"/>
      <c r="J7" s="1">
        <v>44636</v>
      </c>
      <c r="K7">
        <v>3200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 t="s">
        <v>8</v>
      </c>
      <c r="AB7" s="3" t="s">
        <v>4</v>
      </c>
      <c r="AC7" s="3"/>
      <c r="AD7" s="3"/>
      <c r="AE7" s="3"/>
      <c r="AF7" s="3"/>
      <c r="AG7" s="3"/>
      <c r="AH7" s="3"/>
      <c r="AI7" s="3"/>
      <c r="AJ7" s="3"/>
      <c r="AK7" s="3"/>
      <c r="AL7" s="4"/>
      <c r="AM7" s="4"/>
      <c r="AN7" s="4"/>
    </row>
    <row r="8" spans="1:40">
      <c r="A8" t="s">
        <v>9</v>
      </c>
      <c r="B8">
        <v>1526000</v>
      </c>
      <c r="E8" s="3"/>
      <c r="F8" t="s">
        <v>10</v>
      </c>
      <c r="G8">
        <v>159200</v>
      </c>
      <c r="I8" s="3"/>
      <c r="J8" s="1">
        <v>44668</v>
      </c>
      <c r="K8">
        <v>6000</v>
      </c>
      <c r="M8" t="s">
        <v>11</v>
      </c>
      <c r="N8" t="s">
        <v>12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 t="s">
        <v>13</v>
      </c>
      <c r="AB8" s="3">
        <v>132000</v>
      </c>
      <c r="AC8" s="3"/>
      <c r="AD8" s="3"/>
      <c r="AE8" s="3"/>
      <c r="AF8" s="3"/>
      <c r="AG8" s="3"/>
      <c r="AH8" s="3"/>
      <c r="AI8" s="3"/>
      <c r="AJ8" s="3"/>
      <c r="AK8" s="3"/>
      <c r="AL8" s="4"/>
      <c r="AM8" s="4"/>
      <c r="AN8" s="4"/>
    </row>
    <row r="9" spans="5:40">
      <c r="E9" s="3"/>
      <c r="F9" t="s">
        <v>14</v>
      </c>
      <c r="G9">
        <v>285400</v>
      </c>
      <c r="I9" s="3"/>
      <c r="J9" s="1">
        <v>44699</v>
      </c>
      <c r="K9">
        <v>21000</v>
      </c>
      <c r="M9" t="s">
        <v>15</v>
      </c>
      <c r="N9">
        <v>3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 t="s">
        <v>16</v>
      </c>
      <c r="AB9" s="3">
        <v>120000</v>
      </c>
      <c r="AC9" s="3"/>
      <c r="AD9" s="3"/>
      <c r="AE9" s="3"/>
      <c r="AF9" s="3"/>
      <c r="AG9" s="3"/>
      <c r="AH9" s="3"/>
      <c r="AI9" s="3"/>
      <c r="AJ9" s="3"/>
      <c r="AK9" s="3"/>
      <c r="AL9" s="4"/>
      <c r="AM9" s="4"/>
      <c r="AN9" s="4"/>
    </row>
    <row r="10" spans="5:40">
      <c r="E10" s="3"/>
      <c r="F10" t="s">
        <v>17</v>
      </c>
      <c r="I10" s="3"/>
      <c r="J10" s="1">
        <v>44731</v>
      </c>
      <c r="K10">
        <v>38500</v>
      </c>
      <c r="M10" t="s">
        <v>18</v>
      </c>
      <c r="N10">
        <v>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 t="s">
        <v>19</v>
      </c>
      <c r="AB10" s="3">
        <v>143000</v>
      </c>
      <c r="AC10" s="3"/>
      <c r="AD10" s="3"/>
      <c r="AE10" s="3"/>
      <c r="AF10" s="3"/>
      <c r="AG10" s="3"/>
      <c r="AH10" s="3"/>
      <c r="AI10" s="3"/>
      <c r="AJ10" s="3"/>
      <c r="AK10" s="3"/>
      <c r="AL10" s="4"/>
      <c r="AM10" s="4"/>
      <c r="AN10" s="4"/>
    </row>
    <row r="11" spans="5:40">
      <c r="E11" s="3"/>
      <c r="F11" t="s">
        <v>9</v>
      </c>
      <c r="G11">
        <v>1526000</v>
      </c>
      <c r="I11" s="3"/>
      <c r="J11" s="1">
        <v>44793</v>
      </c>
      <c r="K11">
        <v>16000</v>
      </c>
      <c r="M11" t="s">
        <v>20</v>
      </c>
      <c r="N11">
        <v>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 t="s">
        <v>21</v>
      </c>
      <c r="AB11" s="3">
        <v>95000</v>
      </c>
      <c r="AC11" s="3"/>
      <c r="AD11" s="3"/>
      <c r="AE11" s="3"/>
      <c r="AF11" s="3"/>
      <c r="AG11" s="3"/>
      <c r="AH11" s="3"/>
      <c r="AI11" s="3"/>
      <c r="AJ11" s="3"/>
      <c r="AK11" s="3"/>
      <c r="AL11" s="4"/>
      <c r="AM11" s="4"/>
      <c r="AN11" s="4"/>
    </row>
    <row r="12" spans="5:40">
      <c r="E12" s="3"/>
      <c r="I12" s="3"/>
      <c r="J12" s="1">
        <v>44825</v>
      </c>
      <c r="K12">
        <v>8100</v>
      </c>
      <c r="M12" t="s">
        <v>22</v>
      </c>
      <c r="N12">
        <v>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 t="s">
        <v>23</v>
      </c>
      <c r="AB12" s="3">
        <v>144000</v>
      </c>
      <c r="AC12" s="3"/>
      <c r="AD12" s="3"/>
      <c r="AE12" s="3"/>
      <c r="AF12" s="3"/>
      <c r="AG12" s="3"/>
      <c r="AH12" s="3"/>
      <c r="AI12" s="3"/>
      <c r="AJ12" s="3"/>
      <c r="AK12" s="3"/>
      <c r="AL12" s="4"/>
      <c r="AM12" s="4"/>
      <c r="AN12" s="4"/>
    </row>
    <row r="13" spans="5:40">
      <c r="E13" s="3"/>
      <c r="I13" s="3"/>
      <c r="J13" s="1">
        <v>44856</v>
      </c>
      <c r="K13">
        <v>18000</v>
      </c>
      <c r="M13" t="s">
        <v>24</v>
      </c>
      <c r="N13">
        <v>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 t="s">
        <v>9</v>
      </c>
      <c r="AB13" s="3">
        <v>634000</v>
      </c>
      <c r="AC13" s="3"/>
      <c r="AD13" s="3"/>
      <c r="AE13" s="3"/>
      <c r="AF13" s="3"/>
      <c r="AG13" s="3"/>
      <c r="AH13" s="3"/>
      <c r="AI13" s="3"/>
      <c r="AJ13" s="3"/>
      <c r="AK13" s="3"/>
      <c r="AL13" s="4"/>
      <c r="AM13" s="4"/>
      <c r="AN13" s="4"/>
    </row>
    <row r="14" spans="5:40">
      <c r="E14" s="3"/>
      <c r="I14" s="3"/>
      <c r="J14" s="1">
        <v>44918</v>
      </c>
      <c r="K14">
        <v>132000</v>
      </c>
      <c r="M14" t="s">
        <v>25</v>
      </c>
      <c r="N14">
        <v>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4"/>
      <c r="AM14" s="4"/>
      <c r="AN14" s="4"/>
    </row>
    <row r="15" spans="5:40">
      <c r="E15" s="3"/>
      <c r="I15" s="3"/>
      <c r="J15" s="1">
        <v>44945</v>
      </c>
      <c r="K15">
        <v>42000</v>
      </c>
      <c r="M15" t="s">
        <v>26</v>
      </c>
      <c r="N15">
        <v>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4"/>
      <c r="AM15" s="4"/>
      <c r="AN15" s="4"/>
    </row>
    <row r="16" spans="5:40">
      <c r="E16" s="3"/>
      <c r="I16" s="3"/>
      <c r="J16" s="1">
        <v>44977</v>
      </c>
      <c r="K16">
        <v>7800</v>
      </c>
      <c r="M16" t="s">
        <v>27</v>
      </c>
      <c r="N16">
        <v>10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4"/>
      <c r="AM16" s="4"/>
      <c r="AN16" s="4"/>
    </row>
    <row r="17" spans="5:40">
      <c r="E17" s="3"/>
      <c r="I17" s="3"/>
      <c r="J17" s="1">
        <v>45037</v>
      </c>
      <c r="K17">
        <v>58800</v>
      </c>
      <c r="M17" t="s">
        <v>28</v>
      </c>
      <c r="N17">
        <v>11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4"/>
      <c r="AM17" s="4"/>
      <c r="AN17" s="4"/>
    </row>
    <row r="18" spans="5:40">
      <c r="E18" s="3"/>
      <c r="I18" s="3"/>
      <c r="J18" s="1">
        <v>45068</v>
      </c>
      <c r="K18">
        <v>120000</v>
      </c>
      <c r="M18" t="s">
        <v>29</v>
      </c>
      <c r="N18">
        <v>12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4"/>
      <c r="AM18" s="4"/>
      <c r="AN18" s="4"/>
    </row>
    <row r="19" spans="5:40">
      <c r="E19" s="3"/>
      <c r="I19" s="3"/>
      <c r="J19" s="1">
        <v>45100</v>
      </c>
      <c r="K19">
        <v>80000</v>
      </c>
      <c r="M19" t="s">
        <v>30</v>
      </c>
      <c r="N19">
        <v>13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4"/>
      <c r="AM19" s="4"/>
      <c r="AN19" s="4"/>
    </row>
    <row r="20" spans="5:40">
      <c r="E20" s="3"/>
      <c r="I20" s="3"/>
      <c r="J20" s="1">
        <v>45131</v>
      </c>
      <c r="K20">
        <v>18700</v>
      </c>
      <c r="M20" t="s">
        <v>31</v>
      </c>
      <c r="N20">
        <v>14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4"/>
      <c r="AM20" s="4"/>
      <c r="AN20" s="4"/>
    </row>
    <row r="21" spans="5:40">
      <c r="E21" s="3"/>
      <c r="I21" s="3"/>
      <c r="J21" s="1">
        <v>45163</v>
      </c>
      <c r="K21">
        <v>54000</v>
      </c>
      <c r="M21" t="s">
        <v>32</v>
      </c>
      <c r="N21">
        <v>15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4"/>
      <c r="AM21" s="4"/>
      <c r="AN21" s="4"/>
    </row>
    <row r="22" spans="5:40">
      <c r="E22" s="3"/>
      <c r="I22" s="3"/>
      <c r="J22" s="1">
        <v>45195</v>
      </c>
      <c r="K22">
        <v>47500</v>
      </c>
      <c r="M22" t="s">
        <v>33</v>
      </c>
      <c r="N22">
        <v>16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4"/>
      <c r="AM22" s="4"/>
      <c r="AN22" s="4"/>
    </row>
    <row r="23" spans="5:40">
      <c r="E23" s="3"/>
      <c r="I23" s="3"/>
      <c r="J23" s="1">
        <v>45226</v>
      </c>
      <c r="K23">
        <v>19000</v>
      </c>
      <c r="M23" t="s">
        <v>34</v>
      </c>
      <c r="N23">
        <v>48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4"/>
      <c r="AM23" s="4"/>
      <c r="AN23" s="4"/>
    </row>
    <row r="24" spans="5:40">
      <c r="E24" s="3"/>
      <c r="F24" s="3"/>
      <c r="G24" s="3"/>
      <c r="H24" s="3"/>
      <c r="I24" s="3"/>
      <c r="J24" s="1">
        <v>45258</v>
      </c>
      <c r="K24">
        <v>46200</v>
      </c>
      <c r="M24" t="s">
        <v>35</v>
      </c>
      <c r="N24">
        <v>18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4"/>
      <c r="AM24" s="4"/>
      <c r="AN24" s="4"/>
    </row>
    <row r="25" spans="5:40">
      <c r="E25" s="3"/>
      <c r="F25" s="3"/>
      <c r="G25" s="3"/>
      <c r="H25" s="3"/>
      <c r="I25" s="3"/>
      <c r="J25" s="1">
        <v>45289</v>
      </c>
      <c r="K25">
        <v>143000</v>
      </c>
      <c r="M25" t="s">
        <v>36</v>
      </c>
      <c r="N25">
        <v>19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4"/>
      <c r="AM25" s="4"/>
      <c r="AN25" s="4"/>
    </row>
    <row r="26" spans="5:40">
      <c r="E26" s="3"/>
      <c r="F26" s="3"/>
      <c r="G26" s="3"/>
      <c r="H26" s="3"/>
      <c r="I26" s="3"/>
      <c r="J26" s="1">
        <v>45334</v>
      </c>
      <c r="K26">
        <v>64400</v>
      </c>
      <c r="M26" t="s">
        <v>37</v>
      </c>
      <c r="N26">
        <v>20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4"/>
      <c r="AM26" s="4"/>
      <c r="AN26" s="4"/>
    </row>
    <row r="27" spans="5:40">
      <c r="E27" s="3"/>
      <c r="F27" s="3"/>
      <c r="G27" s="3"/>
      <c r="H27" s="3"/>
      <c r="I27" s="3"/>
      <c r="J27" s="1">
        <v>45364</v>
      </c>
      <c r="K27">
        <v>18000</v>
      </c>
      <c r="M27" t="s">
        <v>38</v>
      </c>
      <c r="N27">
        <v>21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4"/>
      <c r="AM27" s="4"/>
      <c r="AN27" s="4"/>
    </row>
    <row r="28" spans="5:40">
      <c r="E28" s="3"/>
      <c r="F28" s="3"/>
      <c r="G28" s="3"/>
      <c r="H28" s="3"/>
      <c r="I28" s="3"/>
      <c r="J28" s="1">
        <v>45396</v>
      </c>
      <c r="K28">
        <v>95000</v>
      </c>
      <c r="M28" t="s">
        <v>39</v>
      </c>
      <c r="N28">
        <v>22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4"/>
      <c r="AM28" s="4"/>
      <c r="AN28" s="4"/>
    </row>
    <row r="29" spans="5:40">
      <c r="E29" s="3"/>
      <c r="F29" s="3"/>
      <c r="G29" s="3"/>
      <c r="H29" s="3"/>
      <c r="I29" s="3"/>
      <c r="J29" s="1">
        <v>45427</v>
      </c>
      <c r="K29">
        <v>46800</v>
      </c>
      <c r="M29" t="s">
        <v>40</v>
      </c>
      <c r="N29">
        <v>23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4"/>
      <c r="AM29" s="4"/>
      <c r="AN29" s="4"/>
    </row>
    <row r="30" spans="5:40">
      <c r="E30" s="3"/>
      <c r="F30" s="3"/>
      <c r="G30" s="3"/>
      <c r="H30" s="3"/>
      <c r="I30" s="3"/>
      <c r="J30" s="1">
        <v>45459</v>
      </c>
      <c r="K30">
        <v>86400</v>
      </c>
      <c r="M30" t="s">
        <v>41</v>
      </c>
      <c r="N30">
        <v>24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4"/>
      <c r="AM30" s="4"/>
      <c r="AN30" s="4"/>
    </row>
    <row r="31" spans="5:40">
      <c r="E31" s="3"/>
      <c r="F31" s="3"/>
      <c r="G31" s="3"/>
      <c r="H31" s="3"/>
      <c r="I31" s="3"/>
      <c r="J31" s="1">
        <v>45490</v>
      </c>
      <c r="K31">
        <v>11200</v>
      </c>
      <c r="M31" t="s">
        <v>42</v>
      </c>
      <c r="N31">
        <v>25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4"/>
      <c r="AM31" s="4"/>
      <c r="AN31" s="4"/>
    </row>
    <row r="32" spans="5:40">
      <c r="E32" s="3"/>
      <c r="F32" s="3"/>
      <c r="G32" s="3"/>
      <c r="H32" s="3"/>
      <c r="I32" s="3"/>
      <c r="J32" s="1">
        <v>45522</v>
      </c>
      <c r="K32">
        <v>46400</v>
      </c>
      <c r="M32" t="s">
        <v>43</v>
      </c>
      <c r="N32">
        <v>26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4"/>
      <c r="AM32" s="4"/>
      <c r="AN32" s="4"/>
    </row>
    <row r="33" spans="5:40">
      <c r="E33" s="3"/>
      <c r="F33" s="3"/>
      <c r="G33" s="3"/>
      <c r="H33" s="3"/>
      <c r="I33" s="3"/>
      <c r="J33" s="1">
        <v>45554</v>
      </c>
      <c r="K33">
        <v>144000</v>
      </c>
      <c r="M33" t="s">
        <v>44</v>
      </c>
      <c r="N33">
        <v>27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4"/>
      <c r="AM33" s="4"/>
      <c r="AN33" s="4"/>
    </row>
    <row r="34" spans="5:40">
      <c r="E34" s="3"/>
      <c r="F34" s="3"/>
      <c r="G34" s="3"/>
      <c r="H34" s="3"/>
      <c r="I34" s="3"/>
      <c r="J34" s="1">
        <v>45585</v>
      </c>
      <c r="K34">
        <v>18600</v>
      </c>
      <c r="M34" t="s">
        <v>45</v>
      </c>
      <c r="N34">
        <v>28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4"/>
      <c r="AM34" s="4"/>
      <c r="AN34" s="4"/>
    </row>
    <row r="35" spans="5:40">
      <c r="E35" s="3"/>
      <c r="F35" s="3"/>
      <c r="G35" s="3"/>
      <c r="H35" s="3"/>
      <c r="I35" s="3"/>
      <c r="J35" s="1">
        <v>45617</v>
      </c>
      <c r="K35">
        <v>70400</v>
      </c>
      <c r="M35" t="s">
        <v>46</v>
      </c>
      <c r="N35">
        <v>29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4"/>
      <c r="AM35" s="4"/>
      <c r="AN35" s="4"/>
    </row>
    <row r="36" spans="5:40">
      <c r="E36" s="3"/>
      <c r="F36" s="3"/>
      <c r="G36" s="3"/>
      <c r="H36" s="3"/>
      <c r="I36" s="3"/>
      <c r="J36" t="s">
        <v>17</v>
      </c>
      <c r="M36" t="s">
        <v>47</v>
      </c>
      <c r="N36">
        <v>30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4"/>
      <c r="AM36" s="4"/>
      <c r="AN36" s="4"/>
    </row>
    <row r="37" spans="5:40">
      <c r="E37" s="3"/>
      <c r="F37" s="3"/>
      <c r="G37" s="3"/>
      <c r="H37" s="3"/>
      <c r="I37" s="3"/>
      <c r="J37" t="s">
        <v>9</v>
      </c>
      <c r="K37">
        <v>1526000</v>
      </c>
      <c r="M37" t="s">
        <v>48</v>
      </c>
      <c r="N37">
        <v>32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4"/>
      <c r="AM37" s="4"/>
      <c r="AN37" s="4"/>
    </row>
    <row r="38" spans="5:40">
      <c r="E38" s="3"/>
      <c r="F38" s="3"/>
      <c r="G38" s="3"/>
      <c r="H38" s="3"/>
      <c r="I38" s="3"/>
      <c r="M38" t="s">
        <v>17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4"/>
      <c r="AM38" s="4"/>
      <c r="AN38" s="4"/>
    </row>
    <row r="39" spans="5:40">
      <c r="E39" s="3"/>
      <c r="F39" s="3"/>
      <c r="G39" s="3"/>
      <c r="H39" s="3"/>
      <c r="I39" s="3"/>
      <c r="M39" t="s">
        <v>9</v>
      </c>
      <c r="N39">
        <v>525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4"/>
      <c r="AM39" s="4"/>
      <c r="AN39" s="4"/>
    </row>
    <row r="40" spans="5:40">
      <c r="E40" s="3"/>
      <c r="F40" s="3"/>
      <c r="G40" s="3"/>
      <c r="H40" s="3"/>
      <c r="I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4"/>
      <c r="AM40" s="4"/>
      <c r="AN40" s="4"/>
    </row>
    <row r="41" spans="5:40"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4"/>
      <c r="AM41" s="4"/>
      <c r="AN41" s="4"/>
    </row>
    <row r="42" spans="5:40"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4"/>
      <c r="AM42" s="4"/>
      <c r="AN42" s="4"/>
    </row>
    <row r="43" spans="5:40"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4"/>
      <c r="AM43" s="4"/>
      <c r="AN43" s="4"/>
    </row>
    <row r="44" spans="5:40"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spans="5:40"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spans="5:40"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spans="5:40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</sheetData>
  <pageMargins left="0.75" right="0.75" top="1" bottom="1" header="0.5" footer="0.5"/>
  <pageSetup paperSize="1" orientation="portrait"/>
  <headerFooter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zoomScale="90" zoomScaleNormal="90" workbookViewId="0">
      <selection activeCell="N17" sqref="N17"/>
    </sheetView>
  </sheetViews>
  <sheetFormatPr defaultColWidth="9" defaultRowHeight="14.4"/>
  <cols>
    <col min="1" max="1" width="17.9907407407407" customWidth="1"/>
    <col min="2" max="2" width="13.3055555555556" customWidth="1"/>
    <col min="3" max="3" width="15.6944444444444" customWidth="1"/>
    <col min="4" max="4" width="16.1574074074074" customWidth="1"/>
    <col min="5" max="5" width="12.9444444444444" customWidth="1"/>
    <col min="6" max="6" width="12.8518518518519" customWidth="1"/>
    <col min="7" max="7" width="10.6481481481481" customWidth="1"/>
    <col min="8" max="8" width="11.0185185185185" customWidth="1"/>
    <col min="9" max="9" width="11.0092592592593" customWidth="1"/>
    <col min="10" max="10" width="11.8333333333333" customWidth="1"/>
    <col min="11" max="12" width="12.6666666666667" customWidth="1"/>
    <col min="13" max="14" width="12.8888888888889"/>
  </cols>
  <sheetData>
    <row r="1" spans="1:13">
      <c r="A1" t="s">
        <v>49</v>
      </c>
      <c r="B1" t="s">
        <v>0</v>
      </c>
      <c r="C1" t="s">
        <v>3</v>
      </c>
      <c r="D1" t="s">
        <v>50</v>
      </c>
      <c r="E1" t="s">
        <v>8</v>
      </c>
      <c r="F1" t="s">
        <v>2</v>
      </c>
      <c r="G1" t="s">
        <v>11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</row>
    <row r="2" spans="1:13">
      <c r="A2" s="5" t="s">
        <v>57</v>
      </c>
      <c r="B2">
        <v>2022</v>
      </c>
      <c r="C2" s="1">
        <v>44576</v>
      </c>
      <c r="D2" t="s">
        <v>58</v>
      </c>
      <c r="E2" t="s">
        <v>59</v>
      </c>
      <c r="F2" t="s">
        <v>5</v>
      </c>
      <c r="G2" t="s">
        <v>15</v>
      </c>
      <c r="H2">
        <v>3</v>
      </c>
      <c r="I2">
        <v>15000</v>
      </c>
      <c r="J2">
        <v>45000</v>
      </c>
      <c r="K2">
        <f>SUM(J2-I2)</f>
        <v>30000</v>
      </c>
      <c r="L2" t="s">
        <v>60</v>
      </c>
      <c r="M2" s="2">
        <f t="shared" ref="M2:M31" si="0">SUM(I2*H2)</f>
        <v>45000</v>
      </c>
    </row>
    <row r="3" spans="1:13">
      <c r="A3" s="5" t="s">
        <v>61</v>
      </c>
      <c r="B3">
        <v>2022</v>
      </c>
      <c r="C3" s="1">
        <v>44636</v>
      </c>
      <c r="D3" t="s">
        <v>62</v>
      </c>
      <c r="E3" t="s">
        <v>63</v>
      </c>
      <c r="F3" t="s">
        <v>7</v>
      </c>
      <c r="G3" t="s">
        <v>18</v>
      </c>
      <c r="H3">
        <v>4</v>
      </c>
      <c r="I3">
        <v>800</v>
      </c>
      <c r="J3">
        <v>8000</v>
      </c>
      <c r="K3">
        <f t="shared" ref="K3:K31" si="1">SUM(J3-I3)</f>
        <v>7200</v>
      </c>
      <c r="L3" s="2">
        <f>SUM(M2:M10)</f>
        <v>287800</v>
      </c>
      <c r="M3" s="2">
        <f t="shared" si="0"/>
        <v>3200</v>
      </c>
    </row>
    <row r="4" spans="1:14">
      <c r="A4" s="5" t="s">
        <v>64</v>
      </c>
      <c r="B4">
        <v>2022</v>
      </c>
      <c r="C4" s="1">
        <v>44668</v>
      </c>
      <c r="D4" t="s">
        <v>65</v>
      </c>
      <c r="E4" t="s">
        <v>66</v>
      </c>
      <c r="F4" t="s">
        <v>10</v>
      </c>
      <c r="G4" t="s">
        <v>20</v>
      </c>
      <c r="H4">
        <v>5</v>
      </c>
      <c r="I4">
        <v>1200</v>
      </c>
      <c r="J4">
        <v>6000</v>
      </c>
      <c r="K4">
        <f t="shared" si="1"/>
        <v>4800</v>
      </c>
      <c r="L4" t="s">
        <v>67</v>
      </c>
      <c r="M4" s="2">
        <f t="shared" si="0"/>
        <v>6000</v>
      </c>
      <c r="N4" t="s">
        <v>9</v>
      </c>
    </row>
    <row r="5" spans="1:14">
      <c r="A5" s="5" t="s">
        <v>68</v>
      </c>
      <c r="B5">
        <v>2022</v>
      </c>
      <c r="C5" s="1">
        <v>44699</v>
      </c>
      <c r="D5" t="s">
        <v>69</v>
      </c>
      <c r="E5" t="s">
        <v>70</v>
      </c>
      <c r="F5" t="s">
        <v>14</v>
      </c>
      <c r="G5" t="s">
        <v>22</v>
      </c>
      <c r="H5">
        <v>6</v>
      </c>
      <c r="I5">
        <v>3500</v>
      </c>
      <c r="J5">
        <v>7000</v>
      </c>
      <c r="K5">
        <f t="shared" si="1"/>
        <v>3500</v>
      </c>
      <c r="L5" s="2">
        <f>SUM(M11:M21)</f>
        <v>637000</v>
      </c>
      <c r="M5" s="2">
        <f t="shared" si="0"/>
        <v>21000</v>
      </c>
      <c r="N5" s="2">
        <f>SUM(M2:M31)</f>
        <v>1526000</v>
      </c>
    </row>
    <row r="6" spans="1:14">
      <c r="A6" s="5" t="s">
        <v>71</v>
      </c>
      <c r="B6">
        <v>2022</v>
      </c>
      <c r="C6" s="1">
        <v>44731</v>
      </c>
      <c r="D6" t="s">
        <v>58</v>
      </c>
      <c r="E6" t="s">
        <v>72</v>
      </c>
      <c r="F6" t="s">
        <v>5</v>
      </c>
      <c r="G6" t="s">
        <v>24</v>
      </c>
      <c r="H6">
        <v>7</v>
      </c>
      <c r="I6">
        <v>5500</v>
      </c>
      <c r="J6">
        <v>55000</v>
      </c>
      <c r="K6">
        <f t="shared" si="1"/>
        <v>49500</v>
      </c>
      <c r="M6" s="2">
        <f t="shared" si="0"/>
        <v>38500</v>
      </c>
      <c r="N6" t="s">
        <v>51</v>
      </c>
    </row>
    <row r="7" spans="1:14">
      <c r="A7" s="5" t="s">
        <v>73</v>
      </c>
      <c r="B7">
        <v>2022</v>
      </c>
      <c r="C7" s="1">
        <v>44793</v>
      </c>
      <c r="D7" t="s">
        <v>62</v>
      </c>
      <c r="E7" t="s">
        <v>74</v>
      </c>
      <c r="F7" t="s">
        <v>7</v>
      </c>
      <c r="G7" t="s">
        <v>25</v>
      </c>
      <c r="H7">
        <v>8</v>
      </c>
      <c r="I7">
        <v>2000</v>
      </c>
      <c r="J7">
        <v>12000</v>
      </c>
      <c r="K7">
        <f t="shared" si="1"/>
        <v>10000</v>
      </c>
      <c r="L7" t="s">
        <v>75</v>
      </c>
      <c r="M7" s="2">
        <f t="shared" si="0"/>
        <v>16000</v>
      </c>
      <c r="N7" s="2">
        <f>SUM(H2:H31)</f>
        <v>525</v>
      </c>
    </row>
    <row r="8" spans="1:13">
      <c r="A8" s="5" t="s">
        <v>76</v>
      </c>
      <c r="B8">
        <v>2022</v>
      </c>
      <c r="C8" s="1">
        <v>44825</v>
      </c>
      <c r="D8" t="s">
        <v>65</v>
      </c>
      <c r="E8" t="s">
        <v>77</v>
      </c>
      <c r="F8" t="s">
        <v>10</v>
      </c>
      <c r="G8" t="s">
        <v>26</v>
      </c>
      <c r="H8">
        <v>9</v>
      </c>
      <c r="I8">
        <v>900</v>
      </c>
      <c r="J8">
        <v>7200</v>
      </c>
      <c r="K8">
        <f t="shared" si="1"/>
        <v>6300</v>
      </c>
      <c r="L8" s="2">
        <f>SUM(M22:M32)</f>
        <v>601200</v>
      </c>
      <c r="M8" s="2">
        <f t="shared" si="0"/>
        <v>8100</v>
      </c>
    </row>
    <row r="9" spans="1:14">
      <c r="A9" s="5" t="s">
        <v>78</v>
      </c>
      <c r="B9">
        <v>2022</v>
      </c>
      <c r="C9" s="1">
        <v>44856</v>
      </c>
      <c r="D9" t="s">
        <v>69</v>
      </c>
      <c r="E9" t="s">
        <v>79</v>
      </c>
      <c r="F9" t="s">
        <v>14</v>
      </c>
      <c r="G9" t="s">
        <v>27</v>
      </c>
      <c r="H9">
        <v>10</v>
      </c>
      <c r="I9">
        <v>1800</v>
      </c>
      <c r="J9">
        <v>18000</v>
      </c>
      <c r="K9">
        <f t="shared" si="1"/>
        <v>16200</v>
      </c>
      <c r="M9" s="2">
        <f t="shared" si="0"/>
        <v>18000</v>
      </c>
      <c r="N9" t="s">
        <v>80</v>
      </c>
    </row>
    <row r="10" spans="1:14">
      <c r="A10" s="5" t="s">
        <v>81</v>
      </c>
      <c r="B10">
        <v>2022</v>
      </c>
      <c r="C10" s="1">
        <v>44918</v>
      </c>
      <c r="D10" t="s">
        <v>58</v>
      </c>
      <c r="E10" t="s">
        <v>13</v>
      </c>
      <c r="F10" t="s">
        <v>5</v>
      </c>
      <c r="G10" t="s">
        <v>28</v>
      </c>
      <c r="H10">
        <v>11</v>
      </c>
      <c r="I10">
        <v>12000</v>
      </c>
      <c r="J10">
        <v>48000</v>
      </c>
      <c r="K10">
        <f t="shared" si="1"/>
        <v>36000</v>
      </c>
      <c r="M10" s="2">
        <f t="shared" si="0"/>
        <v>132000</v>
      </c>
      <c r="N10">
        <f>AVERAGE(M2:M31)</f>
        <v>50866.6666666667</v>
      </c>
    </row>
    <row r="11" spans="1:14">
      <c r="A11" s="5" t="s">
        <v>82</v>
      </c>
      <c r="B11">
        <v>2023</v>
      </c>
      <c r="C11" s="1">
        <v>44945</v>
      </c>
      <c r="D11" t="s">
        <v>62</v>
      </c>
      <c r="E11" t="s">
        <v>83</v>
      </c>
      <c r="F11" t="s">
        <v>7</v>
      </c>
      <c r="G11" t="s">
        <v>29</v>
      </c>
      <c r="H11">
        <v>12</v>
      </c>
      <c r="I11">
        <v>3500</v>
      </c>
      <c r="J11">
        <v>10500</v>
      </c>
      <c r="K11">
        <f t="shared" si="1"/>
        <v>7000</v>
      </c>
      <c r="M11" s="2">
        <f t="shared" si="0"/>
        <v>42000</v>
      </c>
      <c r="N11" t="s">
        <v>84</v>
      </c>
    </row>
    <row r="12" spans="1:14">
      <c r="A12" s="5" t="s">
        <v>85</v>
      </c>
      <c r="B12">
        <v>2023</v>
      </c>
      <c r="C12" s="1">
        <v>44977</v>
      </c>
      <c r="D12" t="s">
        <v>65</v>
      </c>
      <c r="E12" t="s">
        <v>86</v>
      </c>
      <c r="F12" t="s">
        <v>10</v>
      </c>
      <c r="G12" t="s">
        <v>30</v>
      </c>
      <c r="H12">
        <v>13</v>
      </c>
      <c r="I12">
        <v>600</v>
      </c>
      <c r="J12">
        <v>7200</v>
      </c>
      <c r="K12">
        <f t="shared" si="1"/>
        <v>6600</v>
      </c>
      <c r="M12" s="2">
        <f t="shared" si="0"/>
        <v>7800</v>
      </c>
      <c r="N12" s="2">
        <f>SUM(K2:K31)</f>
        <v>441050</v>
      </c>
    </row>
    <row r="13" spans="1:14">
      <c r="A13" s="5" t="s">
        <v>87</v>
      </c>
      <c r="B13">
        <v>2023</v>
      </c>
      <c r="C13" s="1">
        <v>45037</v>
      </c>
      <c r="D13" t="s">
        <v>69</v>
      </c>
      <c r="E13" t="s">
        <v>88</v>
      </c>
      <c r="F13" t="s">
        <v>14</v>
      </c>
      <c r="G13" t="s">
        <v>31</v>
      </c>
      <c r="H13">
        <v>14</v>
      </c>
      <c r="I13">
        <v>4200</v>
      </c>
      <c r="J13">
        <v>42000</v>
      </c>
      <c r="K13">
        <f t="shared" si="1"/>
        <v>37800</v>
      </c>
      <c r="M13" s="2">
        <f t="shared" si="0"/>
        <v>58800</v>
      </c>
      <c r="N13" t="s">
        <v>89</v>
      </c>
    </row>
    <row r="14" spans="1:14">
      <c r="A14" s="5" t="s">
        <v>90</v>
      </c>
      <c r="B14">
        <v>2023</v>
      </c>
      <c r="C14" s="1">
        <v>45068</v>
      </c>
      <c r="D14" t="s">
        <v>58</v>
      </c>
      <c r="E14" t="s">
        <v>16</v>
      </c>
      <c r="F14" t="s">
        <v>5</v>
      </c>
      <c r="G14" t="s">
        <v>32</v>
      </c>
      <c r="H14">
        <v>15</v>
      </c>
      <c r="I14">
        <v>8000</v>
      </c>
      <c r="J14">
        <v>40000</v>
      </c>
      <c r="K14">
        <f t="shared" si="1"/>
        <v>32000</v>
      </c>
      <c r="M14" s="2">
        <f t="shared" si="0"/>
        <v>120000</v>
      </c>
      <c r="N14" s="2">
        <f>SUM(H2:H31)</f>
        <v>525</v>
      </c>
    </row>
    <row r="15" spans="1:13">
      <c r="A15" s="5" t="s">
        <v>91</v>
      </c>
      <c r="B15">
        <v>2023</v>
      </c>
      <c r="C15" s="1">
        <v>45100</v>
      </c>
      <c r="D15" t="s">
        <v>62</v>
      </c>
      <c r="E15" t="s">
        <v>92</v>
      </c>
      <c r="F15" t="s">
        <v>7</v>
      </c>
      <c r="G15" t="s">
        <v>33</v>
      </c>
      <c r="H15">
        <v>16</v>
      </c>
      <c r="I15">
        <v>5000</v>
      </c>
      <c r="J15">
        <v>10000</v>
      </c>
      <c r="K15">
        <f t="shared" si="1"/>
        <v>5000</v>
      </c>
      <c r="M15" s="2">
        <f t="shared" si="0"/>
        <v>80000</v>
      </c>
    </row>
    <row r="16" spans="1:13">
      <c r="A16" s="5" t="s">
        <v>93</v>
      </c>
      <c r="B16">
        <v>2023</v>
      </c>
      <c r="C16" s="1">
        <v>45131</v>
      </c>
      <c r="D16" t="s">
        <v>65</v>
      </c>
      <c r="E16" t="s">
        <v>94</v>
      </c>
      <c r="F16" t="s">
        <v>10</v>
      </c>
      <c r="G16" t="s">
        <v>34</v>
      </c>
      <c r="H16">
        <v>17</v>
      </c>
      <c r="I16">
        <v>1100</v>
      </c>
      <c r="J16">
        <v>7700</v>
      </c>
      <c r="K16">
        <f t="shared" si="1"/>
        <v>6600</v>
      </c>
      <c r="M16" s="2">
        <f t="shared" si="0"/>
        <v>18700</v>
      </c>
    </row>
    <row r="17" spans="1:13">
      <c r="A17" s="5" t="s">
        <v>95</v>
      </c>
      <c r="B17">
        <v>2023</v>
      </c>
      <c r="C17" s="1">
        <v>45163</v>
      </c>
      <c r="D17" t="s">
        <v>58</v>
      </c>
      <c r="E17" t="s">
        <v>96</v>
      </c>
      <c r="F17" t="s">
        <v>5</v>
      </c>
      <c r="G17" t="s">
        <v>35</v>
      </c>
      <c r="H17">
        <v>18</v>
      </c>
      <c r="I17">
        <v>3000</v>
      </c>
      <c r="J17">
        <v>18000</v>
      </c>
      <c r="K17">
        <f t="shared" si="1"/>
        <v>15000</v>
      </c>
      <c r="M17" s="2">
        <f t="shared" si="0"/>
        <v>54000</v>
      </c>
    </row>
    <row r="18" spans="1:13">
      <c r="A18" s="5" t="s">
        <v>97</v>
      </c>
      <c r="B18">
        <v>2023</v>
      </c>
      <c r="C18" s="1">
        <v>45195</v>
      </c>
      <c r="D18" t="s">
        <v>62</v>
      </c>
      <c r="E18" t="s">
        <v>98</v>
      </c>
      <c r="F18" t="s">
        <v>7</v>
      </c>
      <c r="G18" t="s">
        <v>36</v>
      </c>
      <c r="H18">
        <v>19</v>
      </c>
      <c r="I18">
        <v>2500</v>
      </c>
      <c r="J18">
        <v>10000</v>
      </c>
      <c r="K18">
        <f t="shared" si="1"/>
        <v>7500</v>
      </c>
      <c r="M18" s="2">
        <f t="shared" si="0"/>
        <v>47500</v>
      </c>
    </row>
    <row r="19" spans="1:13">
      <c r="A19" s="5" t="s">
        <v>99</v>
      </c>
      <c r="B19">
        <v>2023</v>
      </c>
      <c r="C19" s="1">
        <v>45226</v>
      </c>
      <c r="D19" t="s">
        <v>65</v>
      </c>
      <c r="E19" t="s">
        <v>100</v>
      </c>
      <c r="F19" t="s">
        <v>10</v>
      </c>
      <c r="G19" t="s">
        <v>37</v>
      </c>
      <c r="H19">
        <v>20</v>
      </c>
      <c r="I19">
        <v>950</v>
      </c>
      <c r="J19">
        <v>8550</v>
      </c>
      <c r="K19">
        <f t="shared" si="1"/>
        <v>7600</v>
      </c>
      <c r="M19" s="2">
        <f t="shared" si="0"/>
        <v>19000</v>
      </c>
    </row>
    <row r="20" spans="1:13">
      <c r="A20" s="5" t="s">
        <v>101</v>
      </c>
      <c r="B20">
        <v>2023</v>
      </c>
      <c r="C20" s="1">
        <v>45258</v>
      </c>
      <c r="D20" t="s">
        <v>69</v>
      </c>
      <c r="E20" t="s">
        <v>102</v>
      </c>
      <c r="F20" t="s">
        <v>14</v>
      </c>
      <c r="G20" t="s">
        <v>38</v>
      </c>
      <c r="H20">
        <v>21</v>
      </c>
      <c r="I20">
        <v>2200</v>
      </c>
      <c r="J20">
        <v>6600</v>
      </c>
      <c r="K20">
        <f t="shared" si="1"/>
        <v>4400</v>
      </c>
      <c r="M20" s="2">
        <f t="shared" si="0"/>
        <v>46200</v>
      </c>
    </row>
    <row r="21" spans="1:13">
      <c r="A21" s="5" t="s">
        <v>103</v>
      </c>
      <c r="B21">
        <v>2023</v>
      </c>
      <c r="C21" s="1">
        <v>45289</v>
      </c>
      <c r="D21" t="s">
        <v>58</v>
      </c>
      <c r="E21" t="s">
        <v>19</v>
      </c>
      <c r="F21" t="s">
        <v>5</v>
      </c>
      <c r="G21" t="s">
        <v>39</v>
      </c>
      <c r="H21">
        <v>22</v>
      </c>
      <c r="I21">
        <v>6500</v>
      </c>
      <c r="J21">
        <v>13000</v>
      </c>
      <c r="K21">
        <f t="shared" si="1"/>
        <v>6500</v>
      </c>
      <c r="M21" s="2">
        <f t="shared" si="0"/>
        <v>143000</v>
      </c>
    </row>
    <row r="22" spans="1:13">
      <c r="A22" s="5" t="s">
        <v>104</v>
      </c>
      <c r="B22">
        <v>2024</v>
      </c>
      <c r="C22" s="1">
        <v>45334</v>
      </c>
      <c r="D22" t="s">
        <v>62</v>
      </c>
      <c r="E22" t="s">
        <v>105</v>
      </c>
      <c r="F22" t="s">
        <v>7</v>
      </c>
      <c r="G22" t="s">
        <v>40</v>
      </c>
      <c r="H22">
        <v>23</v>
      </c>
      <c r="I22">
        <v>2800</v>
      </c>
      <c r="J22">
        <v>14000</v>
      </c>
      <c r="K22">
        <f t="shared" si="1"/>
        <v>11200</v>
      </c>
      <c r="M22" s="2">
        <f t="shared" si="0"/>
        <v>64400</v>
      </c>
    </row>
    <row r="23" spans="1:13">
      <c r="A23" s="5" t="s">
        <v>106</v>
      </c>
      <c r="B23">
        <v>2024</v>
      </c>
      <c r="C23" s="1">
        <v>45364</v>
      </c>
      <c r="D23" t="s">
        <v>65</v>
      </c>
      <c r="E23" t="s">
        <v>107</v>
      </c>
      <c r="F23" t="s">
        <v>10</v>
      </c>
      <c r="G23" t="s">
        <v>41</v>
      </c>
      <c r="H23">
        <v>24</v>
      </c>
      <c r="I23">
        <v>750</v>
      </c>
      <c r="J23">
        <v>4500</v>
      </c>
      <c r="K23">
        <f t="shared" si="1"/>
        <v>3750</v>
      </c>
      <c r="M23" s="2">
        <f t="shared" si="0"/>
        <v>18000</v>
      </c>
    </row>
    <row r="24" spans="1:13">
      <c r="A24" s="5" t="s">
        <v>108</v>
      </c>
      <c r="B24">
        <v>2024</v>
      </c>
      <c r="C24" s="1">
        <v>45396</v>
      </c>
      <c r="D24" t="s">
        <v>69</v>
      </c>
      <c r="E24" t="s">
        <v>21</v>
      </c>
      <c r="F24" t="s">
        <v>14</v>
      </c>
      <c r="G24" t="s">
        <v>42</v>
      </c>
      <c r="H24">
        <v>25</v>
      </c>
      <c r="I24">
        <v>3800</v>
      </c>
      <c r="J24">
        <v>38000</v>
      </c>
      <c r="K24">
        <f t="shared" si="1"/>
        <v>34200</v>
      </c>
      <c r="M24" s="2">
        <f t="shared" si="0"/>
        <v>95000</v>
      </c>
    </row>
    <row r="25" spans="1:13">
      <c r="A25" s="5" t="s">
        <v>109</v>
      </c>
      <c r="B25">
        <v>2024</v>
      </c>
      <c r="C25" s="1">
        <v>45427</v>
      </c>
      <c r="D25" t="s">
        <v>58</v>
      </c>
      <c r="E25" t="s">
        <v>110</v>
      </c>
      <c r="F25" t="s">
        <v>5</v>
      </c>
      <c r="G25" t="s">
        <v>43</v>
      </c>
      <c r="H25">
        <v>26</v>
      </c>
      <c r="I25">
        <v>1800</v>
      </c>
      <c r="J25">
        <v>14400</v>
      </c>
      <c r="K25">
        <f t="shared" si="1"/>
        <v>12600</v>
      </c>
      <c r="M25" s="2">
        <f t="shared" si="0"/>
        <v>46800</v>
      </c>
    </row>
    <row r="26" spans="1:13">
      <c r="A26" s="5" t="s">
        <v>111</v>
      </c>
      <c r="B26">
        <v>2024</v>
      </c>
      <c r="C26" s="1">
        <v>45459</v>
      </c>
      <c r="D26" t="s">
        <v>62</v>
      </c>
      <c r="E26" t="s">
        <v>112</v>
      </c>
      <c r="F26" t="s">
        <v>7</v>
      </c>
      <c r="G26" t="s">
        <v>44</v>
      </c>
      <c r="H26">
        <v>27</v>
      </c>
      <c r="I26">
        <v>3200</v>
      </c>
      <c r="J26">
        <v>9600</v>
      </c>
      <c r="K26">
        <f t="shared" si="1"/>
        <v>6400</v>
      </c>
      <c r="M26" s="2">
        <f t="shared" si="0"/>
        <v>86400</v>
      </c>
    </row>
    <row r="27" spans="1:13">
      <c r="A27" s="5" t="s">
        <v>113</v>
      </c>
      <c r="B27">
        <v>2024</v>
      </c>
      <c r="C27" s="1">
        <v>45490</v>
      </c>
      <c r="D27" t="s">
        <v>65</v>
      </c>
      <c r="E27" t="s">
        <v>114</v>
      </c>
      <c r="F27" t="s">
        <v>10</v>
      </c>
      <c r="G27" t="s">
        <v>45</v>
      </c>
      <c r="H27">
        <v>28</v>
      </c>
      <c r="I27">
        <v>400</v>
      </c>
      <c r="J27">
        <v>6000</v>
      </c>
      <c r="K27">
        <f t="shared" si="1"/>
        <v>5600</v>
      </c>
      <c r="M27" s="2">
        <f t="shared" si="0"/>
        <v>11200</v>
      </c>
    </row>
    <row r="28" spans="1:13">
      <c r="A28" s="5" t="s">
        <v>115</v>
      </c>
      <c r="B28">
        <v>2024</v>
      </c>
      <c r="C28" s="1">
        <v>45522</v>
      </c>
      <c r="D28" t="s">
        <v>69</v>
      </c>
      <c r="E28" t="s">
        <v>116</v>
      </c>
      <c r="F28" t="s">
        <v>14</v>
      </c>
      <c r="G28" t="s">
        <v>46</v>
      </c>
      <c r="H28">
        <v>29</v>
      </c>
      <c r="I28">
        <v>1600</v>
      </c>
      <c r="J28">
        <v>16000</v>
      </c>
      <c r="K28">
        <f t="shared" si="1"/>
        <v>14400</v>
      </c>
      <c r="M28" s="2">
        <f t="shared" si="0"/>
        <v>46400</v>
      </c>
    </row>
    <row r="29" spans="1:13">
      <c r="A29" s="5" t="s">
        <v>117</v>
      </c>
      <c r="B29">
        <v>2024</v>
      </c>
      <c r="C29" s="1">
        <v>45554</v>
      </c>
      <c r="D29" t="s">
        <v>58</v>
      </c>
      <c r="E29" t="s">
        <v>23</v>
      </c>
      <c r="F29" t="s">
        <v>5</v>
      </c>
      <c r="G29" t="s">
        <v>47</v>
      </c>
      <c r="H29">
        <v>30</v>
      </c>
      <c r="I29">
        <v>4800</v>
      </c>
      <c r="J29">
        <v>48000</v>
      </c>
      <c r="K29">
        <f t="shared" si="1"/>
        <v>43200</v>
      </c>
      <c r="M29" s="2">
        <f t="shared" si="0"/>
        <v>144000</v>
      </c>
    </row>
    <row r="30" spans="1:13">
      <c r="A30" s="5" t="s">
        <v>118</v>
      </c>
      <c r="B30">
        <v>2024</v>
      </c>
      <c r="C30" s="1">
        <v>45585</v>
      </c>
      <c r="D30" t="s">
        <v>62</v>
      </c>
      <c r="E30" t="s">
        <v>119</v>
      </c>
      <c r="F30" t="s">
        <v>7</v>
      </c>
      <c r="G30" t="s">
        <v>34</v>
      </c>
      <c r="H30">
        <v>31</v>
      </c>
      <c r="I30">
        <v>600</v>
      </c>
      <c r="J30">
        <v>4200</v>
      </c>
      <c r="K30">
        <f t="shared" si="1"/>
        <v>3600</v>
      </c>
      <c r="M30" s="2">
        <f t="shared" si="0"/>
        <v>18600</v>
      </c>
    </row>
    <row r="31" spans="1:13">
      <c r="A31" s="5" t="s">
        <v>120</v>
      </c>
      <c r="B31">
        <v>2024</v>
      </c>
      <c r="C31" s="1">
        <v>45617</v>
      </c>
      <c r="D31" t="s">
        <v>65</v>
      </c>
      <c r="E31" t="s">
        <v>121</v>
      </c>
      <c r="F31" t="s">
        <v>10</v>
      </c>
      <c r="G31" t="s">
        <v>48</v>
      </c>
      <c r="H31">
        <v>32</v>
      </c>
      <c r="I31">
        <v>2200</v>
      </c>
      <c r="J31">
        <v>8800</v>
      </c>
      <c r="K31">
        <f t="shared" si="1"/>
        <v>6600</v>
      </c>
      <c r="M31" s="2">
        <f t="shared" si="0"/>
        <v>70400</v>
      </c>
    </row>
  </sheetData>
  <pageMargins left="0.75" right="0.75" top="1" bottom="1" header="0.5" footer="0.5"/>
  <pageSetup paperSize="1" orientation="portrait"/>
  <headerFooter/>
  <ignoredErrors>
    <ignoredError sqref="M2:M31 A2:K31" numberStoredAsText="1"/>
  </ignoredErrors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M70:W99"/>
  <sheetViews>
    <sheetView zoomScale="49" zoomScaleNormal="49" topLeftCell="A7" workbookViewId="0">
      <selection activeCell="AG27" sqref="AG27"/>
    </sheetView>
  </sheetViews>
  <sheetFormatPr defaultColWidth="8.88888888888889" defaultRowHeight="14.4"/>
  <cols>
    <col min="18" max="18" width="13.8888888888889"/>
    <col min="19" max="19" width="17.4444444444444"/>
  </cols>
  <sheetData>
    <row r="70" spans="13:23">
      <c r="M70" s="1"/>
      <c r="U70" s="2"/>
      <c r="W70" s="2"/>
    </row>
    <row r="71" spans="13:23">
      <c r="M71" s="1"/>
      <c r="U71" s="2"/>
      <c r="V71" s="2"/>
      <c r="W71" s="2"/>
    </row>
    <row r="72" spans="13:23">
      <c r="M72" s="1"/>
      <c r="U72" s="2"/>
      <c r="W72" s="2"/>
    </row>
    <row r="73" spans="13:23">
      <c r="M73" s="1"/>
      <c r="U73" s="2"/>
      <c r="V73" s="2"/>
      <c r="W73" s="2"/>
    </row>
    <row r="74" spans="13:23">
      <c r="M74" s="1"/>
      <c r="U74" s="2"/>
      <c r="W74" s="2"/>
    </row>
    <row r="75" spans="13:23">
      <c r="M75" s="1"/>
      <c r="U75" s="2"/>
      <c r="W75" s="2"/>
    </row>
    <row r="76" spans="13:23">
      <c r="M76" s="1"/>
      <c r="U76" s="2"/>
      <c r="V76" s="2"/>
      <c r="W76" s="2"/>
    </row>
    <row r="77" spans="13:23">
      <c r="M77" s="1"/>
      <c r="U77" s="2"/>
      <c r="W77" s="2"/>
    </row>
    <row r="78" spans="13:23">
      <c r="M78" s="1"/>
      <c r="U78" s="2"/>
      <c r="W78" s="2"/>
    </row>
    <row r="79" spans="13:23">
      <c r="M79" s="1"/>
      <c r="U79" s="2"/>
      <c r="W79" s="2"/>
    </row>
    <row r="80" spans="13:23">
      <c r="M80" s="1"/>
      <c r="U80" s="2"/>
      <c r="W80" s="2"/>
    </row>
    <row r="81" spans="13:23">
      <c r="M81" s="1"/>
      <c r="U81" s="2"/>
      <c r="W81" s="2"/>
    </row>
    <row r="82" spans="13:23">
      <c r="M82" s="1"/>
      <c r="U82" s="2"/>
      <c r="W82" s="2"/>
    </row>
    <row r="83" spans="13:23">
      <c r="M83" s="1"/>
      <c r="U83" s="2"/>
      <c r="W83" s="2"/>
    </row>
    <row r="84" spans="13:23">
      <c r="M84" s="1"/>
      <c r="U84" s="2"/>
      <c r="W84" s="2"/>
    </row>
    <row r="85" spans="13:23">
      <c r="M85" s="1"/>
      <c r="U85" s="2"/>
      <c r="W85" s="2"/>
    </row>
    <row r="86" spans="13:23">
      <c r="M86" s="1"/>
      <c r="U86" s="2"/>
      <c r="W86" s="2"/>
    </row>
    <row r="87" spans="13:23">
      <c r="M87" s="1"/>
      <c r="U87" s="2"/>
      <c r="W87" s="2"/>
    </row>
    <row r="88" spans="13:23">
      <c r="M88" s="1"/>
      <c r="U88" s="2"/>
      <c r="W88" s="2"/>
    </row>
    <row r="89" spans="13:23">
      <c r="M89" s="1"/>
      <c r="U89" s="2"/>
      <c r="W89" s="2"/>
    </row>
    <row r="90" spans="13:23">
      <c r="M90" s="1"/>
      <c r="U90" s="2"/>
      <c r="W90" s="2"/>
    </row>
    <row r="91" spans="13:23">
      <c r="M91" s="1"/>
      <c r="U91" s="2"/>
      <c r="W91" s="2"/>
    </row>
    <row r="92" spans="13:23">
      <c r="M92" s="1"/>
      <c r="U92" s="2"/>
      <c r="W92" s="2"/>
    </row>
    <row r="93" spans="13:23">
      <c r="M93" s="1"/>
      <c r="U93" s="2"/>
      <c r="W93" s="2"/>
    </row>
    <row r="94" spans="13:23">
      <c r="M94" s="1"/>
      <c r="U94" s="2"/>
      <c r="W94" s="2"/>
    </row>
    <row r="95" spans="13:23">
      <c r="M95" s="1"/>
      <c r="U95" s="2"/>
      <c r="W95" s="2"/>
    </row>
    <row r="96" spans="13:23">
      <c r="M96" s="1"/>
      <c r="U96" s="2"/>
      <c r="W96" s="2"/>
    </row>
    <row r="97" spans="13:23">
      <c r="M97" s="1"/>
      <c r="U97" s="2"/>
      <c r="W97" s="2"/>
    </row>
    <row r="98" spans="13:23">
      <c r="M98" s="1"/>
      <c r="U98" s="2"/>
      <c r="W98" s="2"/>
    </row>
    <row r="99" spans="13:23">
      <c r="M99" s="1"/>
      <c r="U99" s="2"/>
      <c r="W99" s="2"/>
    </row>
  </sheetData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48" zoomScaleNormal="48" topLeftCell="A5" workbookViewId="0">
      <selection activeCell="AC20" sqref="AC20"/>
    </sheetView>
  </sheetViews>
  <sheetFormatPr defaultColWidth="8.88888888888889" defaultRowHeight="14.4"/>
  <sheetData/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Sheet11</vt:lpstr>
      <vt:lpstr>Sales_Data_3_Years</vt:lpstr>
      <vt:lpstr>Sheet12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</cp:lastModifiedBy>
  <dcterms:created xsi:type="dcterms:W3CDTF">2026-01-10T10:58:00Z</dcterms:created>
  <dcterms:modified xsi:type="dcterms:W3CDTF">2026-01-20T01:53:38Z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47C0B46403164B37BD524CDE7DDC9B21_12</vt:lpwstr>
  </property>
  <property fmtid="{D5CDD505-2E9C-101B-9397-08002B2CF9AE}" pid="3" name="KSOProductBuildVer">
    <vt:lpwstr>2057-12.2.0.23197</vt:lpwstr>
  </property>
</Properties>
</file>