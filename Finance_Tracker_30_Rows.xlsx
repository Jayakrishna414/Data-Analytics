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firstSheet="3" activeTab="1"/>
  </bookViews>
  <sheets>
    <sheet name="Budget" sheetId="1" r:id="rId1"/>
    <sheet name="Sheet2" sheetId="6" r:id="rId2"/>
    <sheet name="Transactions" sheetId="2" r:id="rId3"/>
    <sheet name="Sheet3" sheetId="7" r:id="rId4"/>
  </sheets>
  <definedNames>
    <definedName name="Slicer_Date">#N/A</definedName>
    <definedName name="Slicer_Category2">#N/A</definedName>
    <definedName name="Slicer_Status">#N/A</definedName>
    <definedName name="Slicer_Descript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<sst xmlns="http://schemas.openxmlformats.org/spreadsheetml/2006/main" count="106" uniqueCount="31">
  <si>
    <t>Category</t>
  </si>
  <si>
    <t>Monthly Budget</t>
  </si>
  <si>
    <t>Rent</t>
  </si>
  <si>
    <t>Food</t>
  </si>
  <si>
    <t>Transport</t>
  </si>
  <si>
    <t>Entertainment</t>
  </si>
  <si>
    <t>Savings</t>
  </si>
  <si>
    <t>Category2</t>
  </si>
  <si>
    <t>Sum of Actual Amount</t>
  </si>
  <si>
    <t>Date</t>
  </si>
  <si>
    <t>Sum of Monthly Budget</t>
  </si>
  <si>
    <t>01-01-2026</t>
  </si>
  <si>
    <t>Sum of Savings</t>
  </si>
  <si>
    <t>Grand Total</t>
  </si>
  <si>
    <t>Sum of remaning</t>
  </si>
  <si>
    <t>Income</t>
  </si>
  <si>
    <t>Description</t>
  </si>
  <si>
    <t>Actual Amount</t>
  </si>
  <si>
    <t>remaning</t>
  </si>
  <si>
    <t>Status</t>
  </si>
  <si>
    <t>Column1</t>
  </si>
  <si>
    <t>House Rent</t>
  </si>
  <si>
    <t>Total Budget</t>
  </si>
  <si>
    <t>Grocery / Meals</t>
  </si>
  <si>
    <t>Travel Expense</t>
  </si>
  <si>
    <t>Total Expenses</t>
  </si>
  <si>
    <t>Movies / Outing</t>
  </si>
  <si>
    <t>Monthly Savings</t>
  </si>
  <si>
    <t>Total Savings</t>
  </si>
  <si>
    <t>Total Income</t>
  </si>
  <si>
    <t>Total Remanigs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</si>
</sst>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180" fontId="0" fillId="0" borderId="0" xfId="0" applyNumberFormat="1" applyAlignment="1">
      <alignment horizontal="left"/>
    </xf>
    <xf numFmtId="180" fontId="0" fillId="0" borderId="0" xfId="0" applyNumberFormat="1"/>
    <xf numFmtId="181" fontId="0" fillId="0" borderId="0" xfId="0" applyNumberFormat="1" applyAlignment="1">
      <alignment horizontal="left"/>
    </xf>
    <xf numFmtId="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180" formatCode="&quot;₹&quot;#,##0.00_);[Red]\(&quot;₹&quot;#,##0.00\)"/>
      <alignment horizontal="left"/>
    </dxf>
    <dxf>
      <numFmt numFmtId="180" formatCode="&quot;₹&quot;#,##0.00_);[Red]\(&quot;₹&quot;#,##0.00\)"/>
    </dxf>
    <dxf>
      <numFmt numFmtId="180" formatCode="&quot;₹&quot;#,##0.00_);[Red]\(&quot;₹&quot;#,##0.00\)"/>
    </dxf>
    <dxf>
      <numFmt numFmtId="180" formatCode="&quot;₹&quot;#,##0.00_);[Red]\(&quot;₹&quot;#,##0.00\)"/>
    </dxf>
    <dxf>
      <numFmt numFmtId="180" formatCode="&quot;₹&quot;#,##0.00_);[Red]\(&quot;₹&quot;#,##0.00\)"/>
    </dxf>
    <dxf>
      <numFmt numFmtId="0" formatCode="General"/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horizontal style="thin">
          <color theme="8"/>
        </horizontal>
      </border>
    </dxf>
  </dxfs>
  <tableStyles count="1" defaultTableStyle="TableStyleMedium9" defaultPivotStyle="PivotStyleLight16">
    <tableStyle name="TableStylePreset3_Accent5" pivot="0" count="7" xr9:uid="{C431203C-6E38-41F6-BEB3-C01E9ECA39FD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Monthly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3001</c:v>
                </c:pt>
                <c:pt idx="1">
                  <c:v>5156</c:v>
                </c:pt>
                <c:pt idx="2">
                  <c:v>5060</c:v>
                </c:pt>
                <c:pt idx="3">
                  <c:v>9438</c:v>
                </c:pt>
                <c:pt idx="4">
                  <c:v>8194</c:v>
                </c:pt>
                <c:pt idx="5">
                  <c:v>4472</c:v>
                </c:pt>
                <c:pt idx="6">
                  <c:v>8074</c:v>
                </c:pt>
                <c:pt idx="7">
                  <c:v>5502</c:v>
                </c:pt>
                <c:pt idx="8">
                  <c:v>8654</c:v>
                </c:pt>
                <c:pt idx="9">
                  <c:v>9512</c:v>
                </c:pt>
                <c:pt idx="10">
                  <c:v>9007</c:v>
                </c:pt>
                <c:pt idx="11">
                  <c:v>8472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5135</c:v>
                </c:pt>
                <c:pt idx="1">
                  <c:v>5010</c:v>
                </c:pt>
                <c:pt idx="2">
                  <c:v>5245</c:v>
                </c:pt>
                <c:pt idx="3">
                  <c:v>202</c:v>
                </c:pt>
                <c:pt idx="4">
                  <c:v>4149</c:v>
                </c:pt>
                <c:pt idx="5">
                  <c:v>1910</c:v>
                </c:pt>
                <c:pt idx="6">
                  <c:v>6356</c:v>
                </c:pt>
                <c:pt idx="7">
                  <c:v>4448</c:v>
                </c:pt>
                <c:pt idx="8">
                  <c:v>4640</c:v>
                </c:pt>
                <c:pt idx="9">
                  <c:v>4966</c:v>
                </c:pt>
                <c:pt idx="10">
                  <c:v>7999</c:v>
                </c:pt>
                <c:pt idx="11">
                  <c:v>4717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86078879"/>
        <c:axId val="461515654"/>
      </c:barChart>
      <c:catAx>
        <c:axId val="386078879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515654"/>
        <c:crosses val="autoZero"/>
        <c:auto val="1"/>
        <c:lblAlgn val="ctr"/>
        <c:lblOffset val="100"/>
        <c:noMultiLvlLbl val="0"/>
      </c:catAx>
      <c:valAx>
        <c:axId val="46151565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60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662461-37c8-4a6c-aa44-c85c51f49f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Sheet2!$G$6:$G$18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Sheet2!$H$6:$H$18</c:f>
              <c:numCache>
                <c:formatCode>General</c:formatCode>
                <c:ptCount val="12"/>
                <c:pt idx="0">
                  <c:v>24865</c:v>
                </c:pt>
                <c:pt idx="1">
                  <c:v>24990</c:v>
                </c:pt>
                <c:pt idx="2">
                  <c:v>24755</c:v>
                </c:pt>
                <c:pt idx="3">
                  <c:v>29798</c:v>
                </c:pt>
                <c:pt idx="4">
                  <c:v>25851</c:v>
                </c:pt>
                <c:pt idx="5">
                  <c:v>28090</c:v>
                </c:pt>
                <c:pt idx="6">
                  <c:v>23644</c:v>
                </c:pt>
                <c:pt idx="7">
                  <c:v>25552</c:v>
                </c:pt>
                <c:pt idx="8">
                  <c:v>25360</c:v>
                </c:pt>
                <c:pt idx="9">
                  <c:v>25034</c:v>
                </c:pt>
                <c:pt idx="10">
                  <c:v>22001</c:v>
                </c:pt>
                <c:pt idx="11">
                  <c:v>25283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3267424"/>
        <c:axId val="261661397"/>
      </c:lineChart>
      <c:catAx>
        <c:axId val="373267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661397"/>
        <c:crosses val="autoZero"/>
        <c:auto val="1"/>
        <c:lblAlgn val="ctr"/>
        <c:lblOffset val="100"/>
        <c:noMultiLvlLbl val="0"/>
      </c:catAx>
      <c:valAx>
        <c:axId val="26166139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2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d4330f-1d88-4891-8687-cc2bbe83d017}"/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[Finance_Tracker_30_Rows.xlsx]Sheet2!PivotTable4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Sheet2!$L$1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68604464400189"/>
                  <c:y val="-0.0082395241896809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10061545668319"/>
                  <c:y val="-0.080410220239591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387768420925981"/>
                  <c:y val="0.024883824599954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643653080279035"/>
                  <c:y val="-0.038158920308011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350463664813102"/>
                  <c:y val="0.017545819785321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Sheet2!$K$2:$K$7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Entertainment</c:v>
                </c:pt>
                <c:pt idx="4">
                  <c:v>Savings</c:v>
                </c:pt>
              </c:strCache>
            </c:strRef>
          </c:cat>
          <c:val>
            <c:numRef>
              <c:f>Sheet2!$L$2:$L$7</c:f>
              <c:numCache>
                <c:formatCode>General</c:formatCode>
                <c:ptCount val="5"/>
                <c:pt idx="0">
                  <c:v>15044</c:v>
                </c:pt>
                <c:pt idx="1">
                  <c:v>16083</c:v>
                </c:pt>
                <c:pt idx="2">
                  <c:v>9693</c:v>
                </c:pt>
                <c:pt idx="3">
                  <c:v>4842</c:v>
                </c:pt>
                <c:pt idx="4">
                  <c:v>9115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dbe835-a98b-4ab3-98f6-7a8226c359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"Sum of Actual Amount"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{"01-01-2026","01-02-2026","01-03-2026","01-04-2026","01-05-2026","01-06-2026","01-07-2026","01-08-2026","01-09-2026","01-10-2026","01-11-2026","01-12-2026"}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{5135,5010,5245,202,4149,1910,6356,4448,4640,4966,7999,4717}</c:f>
              <c:numCache>
                <c:formatCode>General</c:formatCode>
                <c:ptCount val="12"/>
                <c:pt idx="0">
                  <c:v>5135</c:v>
                </c:pt>
                <c:pt idx="1">
                  <c:v>5010</c:v>
                </c:pt>
                <c:pt idx="2">
                  <c:v>5245</c:v>
                </c:pt>
                <c:pt idx="3">
                  <c:v>202</c:v>
                </c:pt>
                <c:pt idx="4">
                  <c:v>4149</c:v>
                </c:pt>
                <c:pt idx="5">
                  <c:v>1910</c:v>
                </c:pt>
                <c:pt idx="6">
                  <c:v>6356</c:v>
                </c:pt>
                <c:pt idx="7">
                  <c:v>4448</c:v>
                </c:pt>
                <c:pt idx="8">
                  <c:v>4640</c:v>
                </c:pt>
                <c:pt idx="9">
                  <c:v>4966</c:v>
                </c:pt>
                <c:pt idx="10">
                  <c:v>7999</c:v>
                </c:pt>
                <c:pt idx="11">
                  <c:v>4717</c:v>
                </c:pt>
              </c:numCache>
            </c:numRef>
          </c:val>
        </c:ser>
        <c:ser>
          <c:idx val="1"/>
          <c:order val="1"/>
          <c:tx>
            <c:strRef>
              <c:f>"Sum of Monthly Budget"</c:f>
              <c:strCache>
                <c:ptCount val="1"/>
                <c:pt idx="0">
                  <c:v>Sum of Monthly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{"01-01-2026","01-02-2026","01-03-2026","01-04-2026","01-05-2026","01-06-2026","01-07-2026","01-08-2026","01-09-2026","01-10-2026","01-11-2026","01-12-2026"}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{3001,5156,5060,9438,8194,4472,8074,5502,8654,9512,9007,8472}</c:f>
              <c:numCache>
                <c:formatCode>General</c:formatCode>
                <c:ptCount val="12"/>
                <c:pt idx="0">
                  <c:v>3001</c:v>
                </c:pt>
                <c:pt idx="1">
                  <c:v>5156</c:v>
                </c:pt>
                <c:pt idx="2">
                  <c:v>5060</c:v>
                </c:pt>
                <c:pt idx="3">
                  <c:v>9438</c:v>
                </c:pt>
                <c:pt idx="4">
                  <c:v>8194</c:v>
                </c:pt>
                <c:pt idx="5">
                  <c:v>4472</c:v>
                </c:pt>
                <c:pt idx="6">
                  <c:v>8074</c:v>
                </c:pt>
                <c:pt idx="7">
                  <c:v>5502</c:v>
                </c:pt>
                <c:pt idx="8">
                  <c:v>8654</c:v>
                </c:pt>
                <c:pt idx="9">
                  <c:v>9512</c:v>
                </c:pt>
                <c:pt idx="10">
                  <c:v>9007</c:v>
                </c:pt>
                <c:pt idx="11">
                  <c:v>8472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01043203"/>
        <c:axId val="104769633"/>
      </c:barChart>
      <c:catAx>
        <c:axId val="5010432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769633"/>
        <c:crosses val="autoZero"/>
        <c:auto val="1"/>
        <c:lblAlgn val="ctr"/>
        <c:lblOffset val="100"/>
        <c:noMultiLvlLbl val="0"/>
      </c:catAx>
      <c:valAx>
        <c:axId val="1047696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0432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54ca54-b9c4-47a1-b62a-2c170a30ce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[Finance_Tracker_30_Rows.xlsx]Sheet2!PivotTable6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Sheet2!$U$21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Sheet2!$T$22:$T$34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Sheet2!$U$22:$U$34</c:f>
              <c:numCache>
                <c:formatCode>General</c:formatCode>
                <c:ptCount val="12"/>
                <c:pt idx="0">
                  <c:v>-2134</c:v>
                </c:pt>
                <c:pt idx="1">
                  <c:v>146</c:v>
                </c:pt>
                <c:pt idx="2">
                  <c:v>-185</c:v>
                </c:pt>
                <c:pt idx="3">
                  <c:v>9236</c:v>
                </c:pt>
                <c:pt idx="4">
                  <c:v>4045</c:v>
                </c:pt>
                <c:pt idx="5">
                  <c:v>2562</c:v>
                </c:pt>
                <c:pt idx="6">
                  <c:v>1718</c:v>
                </c:pt>
                <c:pt idx="7">
                  <c:v>1054</c:v>
                </c:pt>
                <c:pt idx="8">
                  <c:v>4014</c:v>
                </c:pt>
                <c:pt idx="9">
                  <c:v>4546</c:v>
                </c:pt>
                <c:pt idx="10">
                  <c:v>1008</c:v>
                </c:pt>
                <c:pt idx="11">
                  <c:v>3755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97529000"/>
        <c:axId val="641979337"/>
      </c:barChart>
      <c:catAx>
        <c:axId val="6975290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979337"/>
        <c:crosses val="autoZero"/>
        <c:auto val="1"/>
        <c:lblAlgn val="ctr"/>
        <c:lblOffset val="100"/>
        <c:noMultiLvlLbl val="0"/>
      </c:catAx>
      <c:valAx>
        <c:axId val="6419793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52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411a28-9f29-4e70-bff8-8de02338a0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[Finance_Tracker_30_Rows.xlsx]Sheet2!PivotTable4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Sheet2!$L$1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68604464400189"/>
                  <c:y val="-0.0082395241896809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10061545668319"/>
                  <c:y val="-0.080410220239591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387768420925981"/>
                  <c:y val="0.024883824599954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643653080279035"/>
                  <c:y val="-0.038158920308011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350463664813102"/>
                  <c:y val="0.017545819785321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Sheet2!$K$2:$K$7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Entertainment</c:v>
                </c:pt>
                <c:pt idx="4">
                  <c:v>Savings</c:v>
                </c:pt>
              </c:strCache>
            </c:strRef>
          </c:cat>
          <c:val>
            <c:numRef>
              <c:f>Sheet2!$L$2:$L$7</c:f>
              <c:numCache>
                <c:formatCode>General</c:formatCode>
                <c:ptCount val="5"/>
                <c:pt idx="0">
                  <c:v>15044</c:v>
                </c:pt>
                <c:pt idx="1">
                  <c:v>16083</c:v>
                </c:pt>
                <c:pt idx="2">
                  <c:v>9693</c:v>
                </c:pt>
                <c:pt idx="3">
                  <c:v>4842</c:v>
                </c:pt>
                <c:pt idx="4">
                  <c:v>9115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1ab9ed-67c0-4a76-82ee-cca399bbff83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[Finance_Tracker_30_Rows.xlsx]Sheet2!PivotTable3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Sheet2!$G$6:$G$18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Sheet2!$H$6:$H$18</c:f>
              <c:numCache>
                <c:formatCode>General</c:formatCode>
                <c:ptCount val="12"/>
                <c:pt idx="0">
                  <c:v>24865</c:v>
                </c:pt>
                <c:pt idx="1">
                  <c:v>24990</c:v>
                </c:pt>
                <c:pt idx="2">
                  <c:v>24755</c:v>
                </c:pt>
                <c:pt idx="3">
                  <c:v>29798</c:v>
                </c:pt>
                <c:pt idx="4">
                  <c:v>25851</c:v>
                </c:pt>
                <c:pt idx="5">
                  <c:v>28090</c:v>
                </c:pt>
                <c:pt idx="6">
                  <c:v>23644</c:v>
                </c:pt>
                <c:pt idx="7">
                  <c:v>25552</c:v>
                </c:pt>
                <c:pt idx="8">
                  <c:v>25360</c:v>
                </c:pt>
                <c:pt idx="9">
                  <c:v>25034</c:v>
                </c:pt>
                <c:pt idx="10">
                  <c:v>22001</c:v>
                </c:pt>
                <c:pt idx="11">
                  <c:v>25283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3267424"/>
        <c:axId val="261661397"/>
      </c:lineChart>
      <c:catAx>
        <c:axId val="373267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661397"/>
        <c:crosses val="autoZero"/>
        <c:auto val="1"/>
        <c:lblAlgn val="ctr"/>
        <c:lblOffset val="100"/>
        <c:noMultiLvlLbl val="0"/>
      </c:catAx>
      <c:valAx>
        <c:axId val="26166139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2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8df917-5d62-4671-82e5-cac3d5c8ecbe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4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[Finance_Tracker_30_Rows.xlsx]Sheet2!PivotTable1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Monthly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3001</c:v>
                </c:pt>
                <c:pt idx="1">
                  <c:v>5156</c:v>
                </c:pt>
                <c:pt idx="2">
                  <c:v>5060</c:v>
                </c:pt>
                <c:pt idx="3">
                  <c:v>9438</c:v>
                </c:pt>
                <c:pt idx="4">
                  <c:v>8194</c:v>
                </c:pt>
                <c:pt idx="5">
                  <c:v>4472</c:v>
                </c:pt>
                <c:pt idx="6">
                  <c:v>8074</c:v>
                </c:pt>
                <c:pt idx="7">
                  <c:v>5502</c:v>
                </c:pt>
                <c:pt idx="8">
                  <c:v>8654</c:v>
                </c:pt>
                <c:pt idx="9">
                  <c:v>9512</c:v>
                </c:pt>
                <c:pt idx="10">
                  <c:v>9007</c:v>
                </c:pt>
                <c:pt idx="11">
                  <c:v>8472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5135</c:v>
                </c:pt>
                <c:pt idx="1">
                  <c:v>5010</c:v>
                </c:pt>
                <c:pt idx="2">
                  <c:v>5245</c:v>
                </c:pt>
                <c:pt idx="3">
                  <c:v>202</c:v>
                </c:pt>
                <c:pt idx="4">
                  <c:v>4149</c:v>
                </c:pt>
                <c:pt idx="5">
                  <c:v>1910</c:v>
                </c:pt>
                <c:pt idx="6">
                  <c:v>6356</c:v>
                </c:pt>
                <c:pt idx="7">
                  <c:v>4448</c:v>
                </c:pt>
                <c:pt idx="8">
                  <c:v>4640</c:v>
                </c:pt>
                <c:pt idx="9">
                  <c:v>4966</c:v>
                </c:pt>
                <c:pt idx="10">
                  <c:v>7999</c:v>
                </c:pt>
                <c:pt idx="11">
                  <c:v>4717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86078879"/>
        <c:axId val="461515654"/>
      </c:barChart>
      <c:catAx>
        <c:axId val="38607887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515654"/>
        <c:crosses val="autoZero"/>
        <c:auto val="1"/>
        <c:lblAlgn val="ctr"/>
        <c:lblOffset val="100"/>
        <c:noMultiLvlLbl val="0"/>
      </c:catAx>
      <c:valAx>
        <c:axId val="46151565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60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2056df-fb23-4148-99dc-4386aa7ef042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[Finance_Tracker_30_Rows.xlsx]Sheet2!PivotTable6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1020022071575"/>
          <c:y val="0.104631331887378"/>
          <c:w val="0.821693205107993"/>
          <c:h val="0.8539040300922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Sheet2!$U$21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Sheet2!$T$22:$T$34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Sheet2!$U$22:$U$34</c:f>
              <c:numCache>
                <c:formatCode>General</c:formatCode>
                <c:ptCount val="12"/>
                <c:pt idx="0">
                  <c:v>-2134</c:v>
                </c:pt>
                <c:pt idx="1">
                  <c:v>146</c:v>
                </c:pt>
                <c:pt idx="2">
                  <c:v>-185</c:v>
                </c:pt>
                <c:pt idx="3">
                  <c:v>9236</c:v>
                </c:pt>
                <c:pt idx="4">
                  <c:v>4045</c:v>
                </c:pt>
                <c:pt idx="5">
                  <c:v>2562</c:v>
                </c:pt>
                <c:pt idx="6">
                  <c:v>1718</c:v>
                </c:pt>
                <c:pt idx="7">
                  <c:v>1054</c:v>
                </c:pt>
                <c:pt idx="8">
                  <c:v>4014</c:v>
                </c:pt>
                <c:pt idx="9">
                  <c:v>4546</c:v>
                </c:pt>
                <c:pt idx="10">
                  <c:v>1008</c:v>
                </c:pt>
                <c:pt idx="11">
                  <c:v>3755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97529000"/>
        <c:axId val="641979337"/>
      </c:barChart>
      <c:catAx>
        <c:axId val="6975290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979337"/>
        <c:crosses val="autoZero"/>
        <c:auto val="1"/>
        <c:lblAlgn val="ctr"/>
        <c:lblOffset val="100"/>
        <c:noMultiLvlLbl val="0"/>
      </c:catAx>
      <c:valAx>
        <c:axId val="6419793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52900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141e02-591c-47fc-a8b8-dff2309bd099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png"/><Relationship Id="rId8" Type="http://schemas.openxmlformats.org/officeDocument/2006/relationships/image" Target="../media/image4.png"/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16</xdr:row>
      <xdr:rowOff>144780</xdr:rowOff>
    </xdr:from>
    <xdr:to>
      <xdr:col>4</xdr:col>
      <xdr:colOff>399415</xdr:colOff>
      <xdr:row>31</xdr:row>
      <xdr:rowOff>144780</xdr:rowOff>
    </xdr:to>
    <xdr:graphicFrame>
      <xdr:nvGraphicFramePr>
        <xdr:cNvPr id="2" name="Chart 1"/>
        <xdr:cNvGraphicFramePr/>
      </xdr:nvGraphicFramePr>
      <xdr:xfrm>
        <a:off x="635" y="3070860"/>
        <a:ext cx="48253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340360</xdr:colOff>
      <xdr:row>18</xdr:row>
      <xdr:rowOff>78740</xdr:rowOff>
    </xdr:from>
    <xdr:to>
      <xdr:col>12</xdr:col>
      <xdr:colOff>106680</xdr:colOff>
      <xdr:row>33</xdr:row>
      <xdr:rowOff>78740</xdr:rowOff>
    </xdr:to>
    <xdr:graphicFrame>
      <xdr:nvGraphicFramePr>
        <xdr:cNvPr id="4" name="Chart 3"/>
        <xdr:cNvGraphicFramePr/>
      </xdr:nvGraphicFramePr>
      <xdr:xfrm>
        <a:off x="5375910" y="3370580"/>
        <a:ext cx="59683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129540</xdr:colOff>
      <xdr:row>18</xdr:row>
      <xdr:rowOff>144780</xdr:rowOff>
    </xdr:from>
    <xdr:to>
      <xdr:col>18</xdr:col>
      <xdr:colOff>238760</xdr:colOff>
      <xdr:row>33</xdr:row>
      <xdr:rowOff>144780</xdr:rowOff>
    </xdr:to>
    <xdr:graphicFrame>
      <xdr:nvGraphicFramePr>
        <xdr:cNvPr id="5" name="Chart 4"/>
        <xdr:cNvGraphicFramePr/>
      </xdr:nvGraphicFramePr>
      <xdr:xfrm>
        <a:off x="11367135" y="3436620"/>
        <a:ext cx="6667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178</xdr:col>
      <xdr:colOff>231140</xdr:colOff>
      <xdr:row>6</xdr:row>
      <xdr:rowOff>114300</xdr:rowOff>
    </xdr:from>
    <xdr:to>
      <xdr:col>186</xdr:col>
      <xdr:colOff>180340</xdr:colOff>
      <xdr:row>21</xdr:row>
      <xdr:rowOff>114300</xdr:rowOff>
    </xdr:to>
    <xdr:graphicFrame>
      <xdr:nvGraphicFramePr>
        <xdr:cNvPr id="6" name="Chart 5"/>
        <xdr:cNvGraphicFramePr/>
      </xdr:nvGraphicFramePr>
      <xdr:xfrm>
        <a:off x="116793010" y="1211580"/>
        <a:ext cx="4820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1073785</xdr:colOff>
      <xdr:row>4</xdr:row>
      <xdr:rowOff>97790</xdr:rowOff>
    </xdr:from>
    <xdr:to>
      <xdr:col>21</xdr:col>
      <xdr:colOff>466725</xdr:colOff>
      <xdr:row>19</xdr:row>
      <xdr:rowOff>97155</xdr:rowOff>
    </xdr:to>
    <xdr:graphicFrame>
      <xdr:nvGraphicFramePr>
        <xdr:cNvPr id="8" name="Chart 7"/>
        <xdr:cNvGraphicFramePr/>
      </xdr:nvGraphicFramePr>
      <xdr:xfrm>
        <a:off x="16057880" y="829310"/>
        <a:ext cx="481457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52070</xdr:colOff>
      <xdr:row>34</xdr:row>
      <xdr:rowOff>156210</xdr:rowOff>
    </xdr:from>
    <xdr:to>
      <xdr:col>3</xdr:col>
      <xdr:colOff>377825</xdr:colOff>
      <xdr:row>47</xdr:row>
      <xdr:rowOff>153670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0930" y="6374130"/>
              <a:ext cx="183451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14605</xdr:colOff>
      <xdr:row>35</xdr:row>
      <xdr:rowOff>5080</xdr:rowOff>
    </xdr:from>
    <xdr:to>
      <xdr:col>7</xdr:col>
      <xdr:colOff>441325</xdr:colOff>
      <xdr:row>48</xdr:row>
      <xdr:rowOff>2540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Category2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2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0155" y="6405880"/>
              <a:ext cx="183578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596265</xdr:colOff>
      <xdr:row>39</xdr:row>
      <xdr:rowOff>73660</xdr:rowOff>
    </xdr:from>
    <xdr:to>
      <xdr:col>11</xdr:col>
      <xdr:colOff>182245</xdr:colOff>
      <xdr:row>52</xdr:row>
      <xdr:rowOff>71120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Status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9580" y="7205980"/>
              <a:ext cx="183388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28</xdr:col>
      <xdr:colOff>227965</xdr:colOff>
      <xdr:row>8</xdr:row>
      <xdr:rowOff>166370</xdr:rowOff>
    </xdr:to>
    <xdr:sp>
      <xdr:nvSpPr>
        <xdr:cNvPr id="2" name="Rounded Rectangle 1"/>
        <xdr:cNvSpPr/>
      </xdr:nvSpPr>
      <xdr:spPr>
        <a:xfrm>
          <a:off x="7620" y="7620"/>
          <a:ext cx="17271365" cy="162179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0">
          <a:srgbClr val="FFFFFF"/>
        </a:lnRef>
        <a:fillRef idx="3">
          <a:schemeClr val="accent5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8</xdr:col>
      <xdr:colOff>131445</xdr:colOff>
      <xdr:row>1</xdr:row>
      <xdr:rowOff>167640</xdr:rowOff>
    </xdr:from>
    <xdr:to>
      <xdr:col>27</xdr:col>
      <xdr:colOff>75565</xdr:colOff>
      <xdr:row>6</xdr:row>
      <xdr:rowOff>142240</xdr:rowOff>
    </xdr:to>
    <xdr:sp>
      <xdr:nvSpPr>
        <xdr:cNvPr id="3" name="Text Box 2"/>
        <xdr:cNvSpPr txBox="1"/>
      </xdr:nvSpPr>
      <xdr:spPr>
        <a:xfrm>
          <a:off x="5003165" y="350520"/>
          <a:ext cx="11514455" cy="8890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altLang="en-US" sz="3600"/>
            <a:t>Personal Finance &amp; Budget Management Dashboard</a:t>
          </a:r>
          <a:endParaRPr lang="en-GB" altLang="en-US" sz="3600"/>
        </a:p>
      </xdr:txBody>
    </xdr:sp>
    <xdr:clientData/>
  </xdr:twoCellAnchor>
  <xdr:twoCellAnchor editAs="oneCell">
    <xdr:from>
      <xdr:col>25</xdr:col>
      <xdr:colOff>137160</xdr:colOff>
      <xdr:row>34</xdr:row>
      <xdr:rowOff>71755</xdr:rowOff>
    </xdr:from>
    <xdr:to>
      <xdr:col>28</xdr:col>
      <xdr:colOff>143510</xdr:colOff>
      <xdr:row>45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ategory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1285" y="6289675"/>
              <a:ext cx="1833245" cy="2029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88900</xdr:colOff>
      <xdr:row>14</xdr:row>
      <xdr:rowOff>170815</xdr:rowOff>
    </xdr:from>
    <xdr:to>
      <xdr:col>28</xdr:col>
      <xdr:colOff>88265</xdr:colOff>
      <xdr:row>34</xdr:row>
      <xdr:rowOff>60960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3025" y="2731135"/>
              <a:ext cx="1826260" cy="3547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107315</xdr:colOff>
      <xdr:row>9</xdr:row>
      <xdr:rowOff>20955</xdr:rowOff>
    </xdr:from>
    <xdr:to>
      <xdr:col>28</xdr:col>
      <xdr:colOff>115570</xdr:colOff>
      <xdr:row>15</xdr:row>
      <xdr:rowOff>2540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31440" y="1666875"/>
              <a:ext cx="1835150" cy="1078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9</xdr:row>
      <xdr:rowOff>33020</xdr:rowOff>
    </xdr:from>
    <xdr:to>
      <xdr:col>25</xdr:col>
      <xdr:colOff>114300</xdr:colOff>
      <xdr:row>59</xdr:row>
      <xdr:rowOff>164465</xdr:rowOff>
    </xdr:to>
    <xdr:sp>
      <xdr:nvSpPr>
        <xdr:cNvPr id="8" name="Rectangles 7"/>
        <xdr:cNvSpPr/>
      </xdr:nvSpPr>
      <xdr:spPr>
        <a:xfrm>
          <a:off x="7620" y="1678940"/>
          <a:ext cx="15330805" cy="927544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7620</xdr:colOff>
      <xdr:row>16</xdr:row>
      <xdr:rowOff>137160</xdr:rowOff>
    </xdr:from>
    <xdr:to>
      <xdr:col>11</xdr:col>
      <xdr:colOff>551815</xdr:colOff>
      <xdr:row>37</xdr:row>
      <xdr:rowOff>78740</xdr:rowOff>
    </xdr:to>
    <xdr:graphicFrame>
      <xdr:nvGraphicFramePr>
        <xdr:cNvPr id="9" name="Chart 8"/>
        <xdr:cNvGraphicFramePr/>
      </xdr:nvGraphicFramePr>
      <xdr:xfrm>
        <a:off x="7620" y="3063240"/>
        <a:ext cx="7242810" cy="3782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516255</xdr:colOff>
      <xdr:row>16</xdr:row>
      <xdr:rowOff>102235</xdr:rowOff>
    </xdr:from>
    <xdr:to>
      <xdr:col>25</xdr:col>
      <xdr:colOff>125730</xdr:colOff>
      <xdr:row>37</xdr:row>
      <xdr:rowOff>64135</xdr:rowOff>
    </xdr:to>
    <xdr:graphicFrame>
      <xdr:nvGraphicFramePr>
        <xdr:cNvPr id="10" name="Chart 9"/>
        <xdr:cNvGraphicFramePr/>
      </xdr:nvGraphicFramePr>
      <xdr:xfrm>
        <a:off x="7214870" y="3028315"/>
        <a:ext cx="8134985" cy="3802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37</xdr:row>
      <xdr:rowOff>69215</xdr:rowOff>
    </xdr:from>
    <xdr:to>
      <xdr:col>11</xdr:col>
      <xdr:colOff>495935</xdr:colOff>
      <xdr:row>59</xdr:row>
      <xdr:rowOff>172720</xdr:rowOff>
    </xdr:to>
    <xdr:graphicFrame>
      <xdr:nvGraphicFramePr>
        <xdr:cNvPr id="11" name="Chart 10"/>
        <xdr:cNvGraphicFramePr/>
      </xdr:nvGraphicFramePr>
      <xdr:xfrm>
        <a:off x="7620" y="6835775"/>
        <a:ext cx="7186930" cy="4126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499110</xdr:colOff>
      <xdr:row>37</xdr:row>
      <xdr:rowOff>46990</xdr:rowOff>
    </xdr:from>
    <xdr:to>
      <xdr:col>25</xdr:col>
      <xdr:colOff>119380</xdr:colOff>
      <xdr:row>60</xdr:row>
      <xdr:rowOff>28575</xdr:rowOff>
    </xdr:to>
    <xdr:graphicFrame>
      <xdr:nvGraphicFramePr>
        <xdr:cNvPr id="12" name="Chart 11"/>
        <xdr:cNvGraphicFramePr/>
      </xdr:nvGraphicFramePr>
      <xdr:xfrm>
        <a:off x="7197725" y="6813550"/>
        <a:ext cx="8145780" cy="4187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130810</xdr:colOff>
      <xdr:row>45</xdr:row>
      <xdr:rowOff>82550</xdr:rowOff>
    </xdr:from>
    <xdr:to>
      <xdr:col>28</xdr:col>
      <xdr:colOff>134620</xdr:colOff>
      <xdr:row>56</xdr:row>
      <xdr:rowOff>43180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Descrip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54935" y="8312150"/>
              <a:ext cx="1830705" cy="1972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635</xdr:colOff>
      <xdr:row>9</xdr:row>
      <xdr:rowOff>25400</xdr:rowOff>
    </xdr:from>
    <xdr:to>
      <xdr:col>5</xdr:col>
      <xdr:colOff>35560</xdr:colOff>
      <xdr:row>16</xdr:row>
      <xdr:rowOff>154940</xdr:rowOff>
    </xdr:to>
    <xdr:sp>
      <xdr:nvSpPr>
        <xdr:cNvPr id="15" name="Rounded Rectangle 14"/>
        <xdr:cNvSpPr/>
      </xdr:nvSpPr>
      <xdr:spPr>
        <a:xfrm>
          <a:off x="635" y="1671320"/>
          <a:ext cx="3079750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7620</xdr:colOff>
      <xdr:row>9</xdr:row>
      <xdr:rowOff>25400</xdr:rowOff>
    </xdr:from>
    <xdr:to>
      <xdr:col>1</xdr:col>
      <xdr:colOff>574040</xdr:colOff>
      <xdr:row>16</xdr:row>
      <xdr:rowOff>129540</xdr:rowOff>
    </xdr:to>
    <xdr:sp>
      <xdr:nvSpPr>
        <xdr:cNvPr id="16" name="Rounded Rectangle 15"/>
        <xdr:cNvSpPr/>
      </xdr:nvSpPr>
      <xdr:spPr>
        <a:xfrm>
          <a:off x="7620" y="1671320"/>
          <a:ext cx="1175385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25400</xdr:colOff>
      <xdr:row>10</xdr:row>
      <xdr:rowOff>26035</xdr:rowOff>
    </xdr:from>
    <xdr:to>
      <xdr:col>4</xdr:col>
      <xdr:colOff>466725</xdr:colOff>
      <xdr:row>15</xdr:row>
      <xdr:rowOff>165100</xdr:rowOff>
    </xdr:to>
    <xdr:sp>
      <xdr:nvSpPr>
        <xdr:cNvPr id="17" name="Text Box 16"/>
        <xdr:cNvSpPr txBox="1"/>
      </xdr:nvSpPr>
      <xdr:spPr>
        <a:xfrm>
          <a:off x="1243330" y="1854835"/>
          <a:ext cx="1659255" cy="105346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GB" sz="2000" b="1"/>
            <a:t>Total Income</a:t>
          </a:r>
          <a:endParaRPr lang="en-IN" altLang="en-GB" sz="2000" b="1"/>
        </a:p>
        <a:p>
          <a:pPr algn="l"/>
          <a:r>
            <a:rPr lang="en-IN" altLang="en-GB" sz="2000" b="1"/>
            <a:t>360000</a:t>
          </a:r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>
    <xdr:from>
      <xdr:col>20</xdr:col>
      <xdr:colOff>566420</xdr:colOff>
      <xdr:row>8</xdr:row>
      <xdr:rowOff>144780</xdr:rowOff>
    </xdr:from>
    <xdr:to>
      <xdr:col>22</xdr:col>
      <xdr:colOff>523240</xdr:colOff>
      <xdr:row>16</xdr:row>
      <xdr:rowOff>66040</xdr:rowOff>
    </xdr:to>
    <xdr:sp>
      <xdr:nvSpPr>
        <xdr:cNvPr id="19" name="Rounded Rectangle 18"/>
        <xdr:cNvSpPr/>
      </xdr:nvSpPr>
      <xdr:spPr>
        <a:xfrm>
          <a:off x="12745720" y="1607820"/>
          <a:ext cx="1174750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20</xdr:col>
      <xdr:colOff>38100</xdr:colOff>
      <xdr:row>9</xdr:row>
      <xdr:rowOff>12700</xdr:rowOff>
    </xdr:from>
    <xdr:to>
      <xdr:col>25</xdr:col>
      <xdr:colOff>73025</xdr:colOff>
      <xdr:row>16</xdr:row>
      <xdr:rowOff>142240</xdr:rowOff>
    </xdr:to>
    <xdr:sp>
      <xdr:nvSpPr>
        <xdr:cNvPr id="21" name="Rounded Rectangle 20"/>
        <xdr:cNvSpPr/>
      </xdr:nvSpPr>
      <xdr:spPr>
        <a:xfrm>
          <a:off x="12217400" y="1658620"/>
          <a:ext cx="3079750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20</xdr:col>
      <xdr:colOff>45085</xdr:colOff>
      <xdr:row>9</xdr:row>
      <xdr:rowOff>12700</xdr:rowOff>
    </xdr:from>
    <xdr:to>
      <xdr:col>22</xdr:col>
      <xdr:colOff>1905</xdr:colOff>
      <xdr:row>16</xdr:row>
      <xdr:rowOff>116840</xdr:rowOff>
    </xdr:to>
    <xdr:sp>
      <xdr:nvSpPr>
        <xdr:cNvPr id="22" name="Rounded Rectangle 21"/>
        <xdr:cNvSpPr/>
      </xdr:nvSpPr>
      <xdr:spPr>
        <a:xfrm>
          <a:off x="12224385" y="1658620"/>
          <a:ext cx="1174750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22</xdr:col>
      <xdr:colOff>26670</xdr:colOff>
      <xdr:row>10</xdr:row>
      <xdr:rowOff>12700</xdr:rowOff>
    </xdr:from>
    <xdr:to>
      <xdr:col>25</xdr:col>
      <xdr:colOff>42545</xdr:colOff>
      <xdr:row>15</xdr:row>
      <xdr:rowOff>151130</xdr:rowOff>
    </xdr:to>
    <xdr:sp>
      <xdr:nvSpPr>
        <xdr:cNvPr id="23" name="Text Box 22"/>
        <xdr:cNvSpPr txBox="1"/>
      </xdr:nvSpPr>
      <xdr:spPr>
        <a:xfrm>
          <a:off x="13423900" y="1841500"/>
          <a:ext cx="1842770" cy="1052830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GB" sz="2000" b="1"/>
            <a:t>TotalRemaings</a:t>
          </a:r>
          <a:endParaRPr lang="en-IN" altLang="en-GB" sz="2000" b="1"/>
        </a:p>
        <a:p>
          <a:pPr algn="l"/>
          <a:r>
            <a:rPr lang="en-IN" altLang="en-GB" sz="2000" b="1"/>
            <a:t>29765</a:t>
          </a:r>
          <a:endParaRPr lang="en-IN" altLang="en-GB" sz="2000"/>
        </a:p>
        <a:p>
          <a:pPr algn="l"/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>
    <xdr:from>
      <xdr:col>15</xdr:col>
      <xdr:colOff>12700</xdr:colOff>
      <xdr:row>9</xdr:row>
      <xdr:rowOff>25400</xdr:rowOff>
    </xdr:from>
    <xdr:to>
      <xdr:col>20</xdr:col>
      <xdr:colOff>47625</xdr:colOff>
      <xdr:row>16</xdr:row>
      <xdr:rowOff>154940</xdr:rowOff>
    </xdr:to>
    <xdr:sp>
      <xdr:nvSpPr>
        <xdr:cNvPr id="24" name="Rounded Rectangle 23"/>
        <xdr:cNvSpPr/>
      </xdr:nvSpPr>
      <xdr:spPr>
        <a:xfrm>
          <a:off x="9147175" y="1671320"/>
          <a:ext cx="3079750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15</xdr:col>
      <xdr:colOff>19685</xdr:colOff>
      <xdr:row>9</xdr:row>
      <xdr:rowOff>25400</xdr:rowOff>
    </xdr:from>
    <xdr:to>
      <xdr:col>16</xdr:col>
      <xdr:colOff>586105</xdr:colOff>
      <xdr:row>16</xdr:row>
      <xdr:rowOff>129540</xdr:rowOff>
    </xdr:to>
    <xdr:sp>
      <xdr:nvSpPr>
        <xdr:cNvPr id="25" name="Rounded Rectangle 24"/>
        <xdr:cNvSpPr/>
      </xdr:nvSpPr>
      <xdr:spPr>
        <a:xfrm>
          <a:off x="9154160" y="1671320"/>
          <a:ext cx="1175385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17</xdr:col>
      <xdr:colOff>37465</xdr:colOff>
      <xdr:row>10</xdr:row>
      <xdr:rowOff>26035</xdr:rowOff>
    </xdr:from>
    <xdr:to>
      <xdr:col>19</xdr:col>
      <xdr:colOff>478790</xdr:colOff>
      <xdr:row>15</xdr:row>
      <xdr:rowOff>165100</xdr:rowOff>
    </xdr:to>
    <xdr:sp>
      <xdr:nvSpPr>
        <xdr:cNvPr id="26" name="Text Box 25"/>
        <xdr:cNvSpPr txBox="1"/>
      </xdr:nvSpPr>
      <xdr:spPr>
        <a:xfrm>
          <a:off x="10389870" y="1854835"/>
          <a:ext cx="1659255" cy="105346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GB" sz="2000" b="1"/>
            <a:t>Total Savings</a:t>
          </a:r>
          <a:endParaRPr lang="en-IN" altLang="en-GB" sz="2000" b="1"/>
        </a:p>
        <a:p>
          <a:pPr algn="l"/>
          <a:r>
            <a:rPr lang="en-IN" altLang="en-GB" sz="2000" b="1"/>
            <a:t>305223</a:t>
          </a:r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>
    <xdr:from>
      <xdr:col>9</xdr:col>
      <xdr:colOff>596900</xdr:colOff>
      <xdr:row>9</xdr:row>
      <xdr:rowOff>25400</xdr:rowOff>
    </xdr:from>
    <xdr:to>
      <xdr:col>15</xdr:col>
      <xdr:colOff>22225</xdr:colOff>
      <xdr:row>16</xdr:row>
      <xdr:rowOff>154940</xdr:rowOff>
    </xdr:to>
    <xdr:sp>
      <xdr:nvSpPr>
        <xdr:cNvPr id="27" name="Rounded Rectangle 26"/>
        <xdr:cNvSpPr/>
      </xdr:nvSpPr>
      <xdr:spPr>
        <a:xfrm>
          <a:off x="6077585" y="1671320"/>
          <a:ext cx="3079115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9</xdr:col>
      <xdr:colOff>603885</xdr:colOff>
      <xdr:row>9</xdr:row>
      <xdr:rowOff>25400</xdr:rowOff>
    </xdr:from>
    <xdr:to>
      <xdr:col>11</xdr:col>
      <xdr:colOff>560705</xdr:colOff>
      <xdr:row>16</xdr:row>
      <xdr:rowOff>129540</xdr:rowOff>
    </xdr:to>
    <xdr:sp>
      <xdr:nvSpPr>
        <xdr:cNvPr id="28" name="Rounded Rectangle 27"/>
        <xdr:cNvSpPr/>
      </xdr:nvSpPr>
      <xdr:spPr>
        <a:xfrm>
          <a:off x="6084570" y="1671320"/>
          <a:ext cx="1174750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11</xdr:col>
      <xdr:colOff>576580</xdr:colOff>
      <xdr:row>10</xdr:row>
      <xdr:rowOff>26035</xdr:rowOff>
    </xdr:from>
    <xdr:to>
      <xdr:col>15</xdr:col>
      <xdr:colOff>26670</xdr:colOff>
      <xdr:row>15</xdr:row>
      <xdr:rowOff>162560</xdr:rowOff>
    </xdr:to>
    <xdr:sp>
      <xdr:nvSpPr>
        <xdr:cNvPr id="29" name="Text Box 28"/>
        <xdr:cNvSpPr txBox="1"/>
      </xdr:nvSpPr>
      <xdr:spPr>
        <a:xfrm>
          <a:off x="7275195" y="1854835"/>
          <a:ext cx="1885950" cy="105092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l"/>
          <a:r>
            <a:rPr lang="en-IN" altLang="en-GB" sz="2000" b="1"/>
            <a:t>TotalExpenses</a:t>
          </a:r>
          <a:endParaRPr lang="en-IN" altLang="en-GB" sz="2000" b="1"/>
        </a:p>
        <a:p>
          <a:pPr lvl="0" algn="l"/>
          <a:r>
            <a:rPr lang="en-IN" altLang="en-GB" sz="2000" b="1"/>
            <a:t>54777</a:t>
          </a:r>
          <a:endParaRPr lang="en-IN" altLang="en-GB" sz="2000" b="1"/>
        </a:p>
        <a:p>
          <a:pPr algn="l"/>
          <a:endParaRPr lang="en-IN" altLang="en-GB" sz="2000" b="1"/>
        </a:p>
        <a:p>
          <a:pPr algn="l"/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>
    <xdr:from>
      <xdr:col>4</xdr:col>
      <xdr:colOff>596900</xdr:colOff>
      <xdr:row>9</xdr:row>
      <xdr:rowOff>25400</xdr:rowOff>
    </xdr:from>
    <xdr:to>
      <xdr:col>10</xdr:col>
      <xdr:colOff>22225</xdr:colOff>
      <xdr:row>16</xdr:row>
      <xdr:rowOff>154940</xdr:rowOff>
    </xdr:to>
    <xdr:sp>
      <xdr:nvSpPr>
        <xdr:cNvPr id="30" name="Rounded Rectangle 29"/>
        <xdr:cNvSpPr/>
      </xdr:nvSpPr>
      <xdr:spPr>
        <a:xfrm>
          <a:off x="3032760" y="1671320"/>
          <a:ext cx="3079115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</xdr:col>
      <xdr:colOff>603885</xdr:colOff>
      <xdr:row>9</xdr:row>
      <xdr:rowOff>25400</xdr:rowOff>
    </xdr:from>
    <xdr:to>
      <xdr:col>6</xdr:col>
      <xdr:colOff>560705</xdr:colOff>
      <xdr:row>16</xdr:row>
      <xdr:rowOff>129540</xdr:rowOff>
    </xdr:to>
    <xdr:sp>
      <xdr:nvSpPr>
        <xdr:cNvPr id="31" name="Rounded Rectangle 30"/>
        <xdr:cNvSpPr/>
      </xdr:nvSpPr>
      <xdr:spPr>
        <a:xfrm>
          <a:off x="3039745" y="1671320"/>
          <a:ext cx="1174750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7</xdr:col>
      <xdr:colOff>12065</xdr:colOff>
      <xdr:row>10</xdr:row>
      <xdr:rowOff>26035</xdr:rowOff>
    </xdr:from>
    <xdr:to>
      <xdr:col>9</xdr:col>
      <xdr:colOff>453390</xdr:colOff>
      <xdr:row>15</xdr:row>
      <xdr:rowOff>165100</xdr:rowOff>
    </xdr:to>
    <xdr:sp>
      <xdr:nvSpPr>
        <xdr:cNvPr id="32" name="Text Box 31"/>
        <xdr:cNvSpPr txBox="1"/>
      </xdr:nvSpPr>
      <xdr:spPr>
        <a:xfrm>
          <a:off x="4274820" y="1854835"/>
          <a:ext cx="1659255" cy="105346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GB" sz="2000" b="1"/>
            <a:t>Total Budget</a:t>
          </a:r>
          <a:endParaRPr lang="en-IN" altLang="en-GB" sz="2000" b="1"/>
        </a:p>
        <a:p>
          <a:pPr algn="l"/>
          <a:r>
            <a:rPr lang="en-IN" altLang="en-GB" sz="2000"/>
            <a:t>84542</a:t>
          </a:r>
          <a:endParaRPr lang="en-IN" altLang="en-GB" sz="2000"/>
        </a:p>
        <a:p>
          <a:pPr algn="l"/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 editAs="oneCell">
    <xdr:from>
      <xdr:col>0</xdr:col>
      <xdr:colOff>123825</xdr:colOff>
      <xdr:row>9</xdr:row>
      <xdr:rowOff>85725</xdr:rowOff>
    </xdr:from>
    <xdr:to>
      <xdr:col>1</xdr:col>
      <xdr:colOff>542925</xdr:colOff>
      <xdr:row>17</xdr:row>
      <xdr:rowOff>9525</xdr:rowOff>
    </xdr:to>
    <xdr:pic>
      <xdr:nvPicPr>
        <xdr:cNvPr id="13" name="Picture 12"/>
        <xdr:cNvPicPr>
          <a:picLocks noChangeAspect="1"/>
        </xdr:cNvPicPr>
      </xdr:nvPicPr>
      <xdr:blipFill>
        <a:blip r:embed="rId5"/>
        <a:srcRect l="56235" b="8268"/>
        <a:stretch>
          <a:fillRect/>
        </a:stretch>
      </xdr:blipFill>
      <xdr:spPr>
        <a:xfrm>
          <a:off x="123825" y="1731645"/>
          <a:ext cx="1028065" cy="138684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9</xdr:row>
      <xdr:rowOff>114300</xdr:rowOff>
    </xdr:from>
    <xdr:to>
      <xdr:col>6</xdr:col>
      <xdr:colOff>400050</xdr:colOff>
      <xdr:row>15</xdr:row>
      <xdr:rowOff>161925</xdr:rowOff>
    </xdr:to>
    <xdr:pic>
      <xdr:nvPicPr>
        <xdr:cNvPr id="20" name="Picture 19"/>
        <xdr:cNvPicPr>
          <a:picLocks noChangeAspect="1"/>
        </xdr:cNvPicPr>
      </xdr:nvPicPr>
      <xdr:blipFill>
        <a:blip r:embed="rId6"/>
        <a:srcRect l="25500" t="21000" r="31333" b="32333"/>
        <a:stretch>
          <a:fillRect/>
        </a:stretch>
      </xdr:blipFill>
      <xdr:spPr>
        <a:xfrm>
          <a:off x="3063875" y="1760220"/>
          <a:ext cx="989965" cy="114490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9</xdr:row>
      <xdr:rowOff>57150</xdr:rowOff>
    </xdr:from>
    <xdr:to>
      <xdr:col>11</xdr:col>
      <xdr:colOff>447675</xdr:colOff>
      <xdr:row>16</xdr:row>
      <xdr:rowOff>47625</xdr:rowOff>
    </xdr:to>
    <xdr:pic>
      <xdr:nvPicPr>
        <xdr:cNvPr id="33" name="Picture 32"/>
        <xdr:cNvPicPr>
          <a:picLocks noChangeAspect="1"/>
        </xdr:cNvPicPr>
      </xdr:nvPicPr>
      <xdr:blipFill>
        <a:blip r:embed="rId7"/>
        <a:srcRect l="51833" b="8345"/>
        <a:stretch>
          <a:fillRect/>
        </a:stretch>
      </xdr:blipFill>
      <xdr:spPr>
        <a:xfrm>
          <a:off x="6146800" y="1703070"/>
          <a:ext cx="999490" cy="1270635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9</xdr:row>
      <xdr:rowOff>47625</xdr:rowOff>
    </xdr:from>
    <xdr:to>
      <xdr:col>16</xdr:col>
      <xdr:colOff>447675</xdr:colOff>
      <xdr:row>16</xdr:row>
      <xdr:rowOff>9525</xdr:rowOff>
    </xdr:to>
    <xdr:pic>
      <xdr:nvPicPr>
        <xdr:cNvPr id="34" name="Picture 33"/>
        <xdr:cNvPicPr>
          <a:picLocks noChangeAspect="1"/>
        </xdr:cNvPicPr>
      </xdr:nvPicPr>
      <xdr:blipFill>
        <a:blip r:embed="rId8"/>
        <a:srcRect t="5833"/>
        <a:stretch>
          <a:fillRect/>
        </a:stretch>
      </xdr:blipFill>
      <xdr:spPr>
        <a:xfrm>
          <a:off x="9267825" y="1693545"/>
          <a:ext cx="923290" cy="1242060"/>
        </a:xfrm>
        <a:prstGeom prst="rect">
          <a:avLst/>
        </a:prstGeom>
      </xdr:spPr>
    </xdr:pic>
    <xdr:clientData/>
  </xdr:twoCellAnchor>
  <xdr:twoCellAnchor editAs="oneCell">
    <xdr:from>
      <xdr:col>20</xdr:col>
      <xdr:colOff>85725</xdr:colOff>
      <xdr:row>9</xdr:row>
      <xdr:rowOff>114300</xdr:rowOff>
    </xdr:from>
    <xdr:to>
      <xdr:col>22</xdr:col>
      <xdr:colOff>0</xdr:colOff>
      <xdr:row>15</xdr:row>
      <xdr:rowOff>152400</xdr:rowOff>
    </xdr:to>
    <xdr:pic>
      <xdr:nvPicPr>
        <xdr:cNvPr id="35" name="Picture 34"/>
        <xdr:cNvPicPr>
          <a:picLocks noChangeAspect="1"/>
        </xdr:cNvPicPr>
      </xdr:nvPicPr>
      <xdr:blipFill>
        <a:blip r:embed="rId9"/>
        <a:srcRect l="21017" r="24407"/>
        <a:stretch>
          <a:fillRect/>
        </a:stretch>
      </xdr:blipFill>
      <xdr:spPr>
        <a:xfrm>
          <a:off x="12265025" y="1760220"/>
          <a:ext cx="1132205" cy="11353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1.589525463" refreshedBy="krish" recordCount="12">
  <cacheSource type="worksheet">
    <worksheetSource name="Table1"/>
  </cacheSource>
  <cacheFields count="10">
    <cacheField name="Date" numFmtId="0">
      <sharedItems containsDate="1" containsMixedTypes="1" count="12">
        <s v="01-01-2026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</cacheField>
    <cacheField name="Category" numFmtId="0">
      <sharedItems count="5">
        <s v="Rent"/>
        <s v="Food"/>
        <s v="Transport"/>
        <s v="Entertainment"/>
        <s v="Savings"/>
      </sharedItems>
    </cacheField>
    <cacheField name="Income" numFmtId="0">
      <sharedItems containsSemiMixedTypes="0" containsString="0" containsNumber="1" containsInteger="1" minValue="30000" maxValue="30000" count="1">
        <n v="30000"/>
      </sharedItems>
    </cacheField>
    <cacheField name="Description" numFmtId="0">
      <sharedItems count="5">
        <s v="House Rent"/>
        <s v="Grocery / Meals"/>
        <s v="Travel Expense"/>
        <s v="Movies / Outing"/>
        <s v="Monthly Savings"/>
      </sharedItems>
    </cacheField>
    <cacheField name="Actual Amount" numFmtId="0">
      <sharedItems containsSemiMixedTypes="0" containsString="0" containsNumber="1" containsInteger="1" minValue="202" maxValue="7999" count="12">
        <n v="5135"/>
        <n v="5010"/>
        <n v="5245"/>
        <n v="202"/>
        <n v="4149"/>
        <n v="1910"/>
        <n v="6356"/>
        <n v="4448"/>
        <n v="4640"/>
        <n v="4966"/>
        <n v="7999"/>
        <n v="4717"/>
      </sharedItems>
    </cacheField>
    <cacheField name="Category2" numFmtId="0">
      <sharedItems count="5">
        <s v="Rent"/>
        <s v="Food"/>
        <s v="Transport"/>
        <s v="Entertainment"/>
        <s v="Savings"/>
      </sharedItems>
    </cacheField>
    <cacheField name="Monthly Budget" numFmtId="0">
      <sharedItems containsSemiMixedTypes="0" containsString="0" containsNumber="1" containsInteger="1" minValue="3001" maxValue="9512" count="12">
        <n v="3001"/>
        <n v="5156"/>
        <n v="5060"/>
        <n v="9438"/>
        <n v="8194"/>
        <n v="4472"/>
        <n v="8074"/>
        <n v="5502"/>
        <n v="8654"/>
        <n v="9512"/>
        <n v="9007"/>
        <n v="8472"/>
      </sharedItems>
    </cacheField>
    <cacheField name="Savings" numFmtId="0">
      <sharedItems containsSemiMixedTypes="0" containsString="0" containsNumber="1" containsInteger="1" minValue="22001" maxValue="29798" count="12">
        <n v="24865"/>
        <n v="24990"/>
        <n v="24755"/>
        <n v="29798"/>
        <n v="25851"/>
        <n v="28090"/>
        <n v="23644"/>
        <n v="25552"/>
        <n v="25360"/>
        <n v="25034"/>
        <n v="22001"/>
        <n v="25283"/>
      </sharedItems>
    </cacheField>
    <cacheField name="remaning" numFmtId="0">
      <sharedItems containsSemiMixedTypes="0" containsString="0" containsNumber="1" containsInteger="1" minValue="-2134" maxValue="9236" count="12">
        <n v="-2134"/>
        <n v="146"/>
        <n v="-185"/>
        <n v="9236"/>
        <n v="4045"/>
        <n v="2562"/>
        <n v="1718"/>
        <n v="1054"/>
        <n v="4014"/>
        <n v="4546"/>
        <n v="1008"/>
        <n v="3755"/>
      </sharedItems>
    </cacheField>
    <cacheField name="Status" numFmtId="0">
      <sharedItems count="2">
        <s v="Overspend"/>
        <s v="Underspen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</r>
  <r>
    <x v="2"/>
    <x v="2"/>
    <x v="0"/>
    <x v="2"/>
    <x v="2"/>
    <x v="2"/>
    <x v="2"/>
    <x v="2"/>
    <x v="2"/>
    <x v="0"/>
  </r>
  <r>
    <x v="3"/>
    <x v="3"/>
    <x v="0"/>
    <x v="3"/>
    <x v="3"/>
    <x v="3"/>
    <x v="3"/>
    <x v="3"/>
    <x v="3"/>
    <x v="1"/>
  </r>
  <r>
    <x v="4"/>
    <x v="4"/>
    <x v="0"/>
    <x v="4"/>
    <x v="4"/>
    <x v="4"/>
    <x v="4"/>
    <x v="4"/>
    <x v="4"/>
    <x v="1"/>
  </r>
  <r>
    <x v="5"/>
    <x v="0"/>
    <x v="0"/>
    <x v="0"/>
    <x v="5"/>
    <x v="0"/>
    <x v="5"/>
    <x v="5"/>
    <x v="5"/>
    <x v="1"/>
  </r>
  <r>
    <x v="6"/>
    <x v="1"/>
    <x v="0"/>
    <x v="1"/>
    <x v="6"/>
    <x v="1"/>
    <x v="6"/>
    <x v="6"/>
    <x v="6"/>
    <x v="1"/>
  </r>
  <r>
    <x v="7"/>
    <x v="2"/>
    <x v="0"/>
    <x v="2"/>
    <x v="7"/>
    <x v="2"/>
    <x v="7"/>
    <x v="7"/>
    <x v="7"/>
    <x v="1"/>
  </r>
  <r>
    <x v="8"/>
    <x v="3"/>
    <x v="0"/>
    <x v="3"/>
    <x v="8"/>
    <x v="3"/>
    <x v="8"/>
    <x v="8"/>
    <x v="8"/>
    <x v="1"/>
  </r>
  <r>
    <x v="9"/>
    <x v="4"/>
    <x v="0"/>
    <x v="4"/>
    <x v="9"/>
    <x v="4"/>
    <x v="9"/>
    <x v="9"/>
    <x v="9"/>
    <x v="1"/>
  </r>
  <r>
    <x v="10"/>
    <x v="0"/>
    <x v="0"/>
    <x v="0"/>
    <x v="10"/>
    <x v="0"/>
    <x v="10"/>
    <x v="10"/>
    <x v="10"/>
    <x v="1"/>
  </r>
  <r>
    <x v="11"/>
    <x v="1"/>
    <x v="0"/>
    <x v="1"/>
    <x v="11"/>
    <x v="1"/>
    <x v="11"/>
    <x v="11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5:H18" firstHeaderRow="1" firstDataRow="1" firstDataCol="1"/>
  <pivotFields count="10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ving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K1:L7" firstHeaderRow="1" firstDataRow="1" firstDataCol="1"/>
  <pivotFields count="10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ual Amount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T21:U34" firstHeaderRow="1" firstDataRow="1" firstDataCol="1"/>
  <pivotFields count="10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maning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6" firstHeaderRow="0" firstDataRow="1" firstDataCol="1"/>
  <pivotFields count="10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 Budget" fld="6" baseField="0" baseItem="0"/>
    <dataField name="Sum of Actual Amount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6" name="PivotTable3"/>
    <pivotTable tabId="6" name="PivotTable1"/>
    <pivotTable tabId="6" name="PivotTable4"/>
    <pivotTable tabId="6" name="PivotTable6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" sourceName="Category2">
  <pivotTables>
    <pivotTable tabId="6" name="PivotTable3"/>
    <pivotTable tabId="6" name="PivotTable1"/>
    <pivotTable tabId="6" name="PivotTable4"/>
    <pivotTable tabId="6" name="PivotTable6"/>
  </pivotTables>
  <data>
    <tabular pivotCacheId="1">
      <items count="5">
        <i x="3" s="1"/>
        <i x="1" s="1"/>
        <i x="0" s="1"/>
        <i x="4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6" name="PivotTable3"/>
    <pivotTable tabId="6" name="PivotTable1"/>
    <pivotTable tabId="6" name="PivotTable4"/>
    <pivotTable tabId="6" name="PivotTable6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scription" sourceName="Description">
  <pivotTables>
    <pivotTable tabId="6" name="PivotTable6"/>
    <pivotTable tabId="6" name="PivotTable1"/>
    <pivotTable tabId="6" name="PivotTable3"/>
    <pivotTable tabId="6" name="PivotTable4"/>
  </pivotTables>
  <data>
    <tabular pivotCacheId="1">
      <items count="5">
        <i x="1" s="1"/>
        <i x="0" s="1"/>
        <i x="4" s="1"/>
        <i x="3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us 3" cache="Slicer_Status" caption="Status" rowHeight="225425"/>
  <slicer name="Category2 2" cache="Slicer_Category2" caption="Category2" rowHeight="225425"/>
  <slicer name="Date 1" cache="Slicer_Date" caption="Dat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scription" cache="Slicer_Description" caption="Description" style="SlicerStyleLight5" rowHeight="225425"/>
  <slicer name="Status" cache="Slicer_Status" caption="Status" style="SlicerStyleLight5" rowHeight="225425"/>
  <slicer name="Category2" cache="Slicer_Category2" caption="Category2" style="SlicerStyleLight5" rowHeight="225425"/>
  <slicer name="Date" cache="Slicer_Date" caption="Date" style="SlicerStyleLight5" rowHeight="225425"/>
</slicers>
</file>

<file path=xl/tables/table1.xml><?xml version="1.0" encoding="utf-8"?>
<table xmlns="http://schemas.openxmlformats.org/spreadsheetml/2006/main" id="2" name="Table2" displayName="Table2" ref="A1:B31" totalsRowShown="0">
  <autoFilter xmlns:etc="http://www.wps.cn/officeDocument/2017/etCustomData" ref="A1:B31" etc:filterBottomFollowUsedRange="0"/>
  <tableColumns count="2">
    <tableColumn id="1" name="Category"/>
    <tableColumn id="2" name="Monthly Budget"/>
  </tableColumns>
  <tableStyleInfo name="TableStylePreset3_Accent5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J13" totalsRowShown="0">
  <autoFilter xmlns:etc="http://www.wps.cn/officeDocument/2017/etCustomData" ref="A1:J13" etc:filterBottomFollowUsedRange="0"/>
  <tableColumns count="10">
    <tableColumn id="1" name="Date"/>
    <tableColumn id="2" name="Category"/>
    <tableColumn id="9" name="Income" dataDxfId="0"/>
    <tableColumn id="3" name="Description"/>
    <tableColumn id="4" name="Actual Amount" dataDxfId="1"/>
    <tableColumn id="5" name="Category2"/>
    <tableColumn id="6" name="Monthly Budget" dataDxfId="2"/>
    <tableColumn id="7" name="Savings" dataDxfId="3">
      <calculatedColumnFormula>C2-E2</calculatedColumnFormula>
    </tableColumn>
    <tableColumn id="8" name="remaning" dataDxfId="4">
      <calculatedColumnFormula>G2-E2</calculatedColumnFormula>
    </tableColumn>
    <tableColumn id="10" name="Status" dataDxfId="5">
      <calculatedColumnFormula>IF(I2&gt;0,"Underspent","Overspend")</calculatedColumnFormula>
    </tableColumn>
  </tableColumns>
  <tableStyleInfo name="TableStylePreset3_Accent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L1:L11" totalsRowShown="0">
  <autoFilter xmlns:etc="http://www.wps.cn/officeDocument/2017/etCustomData" ref="L1:L11" etc:filterBottomFollowUsedRange="0"/>
  <tableColumns count="1">
    <tableColumn id="1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zoomScale="44" zoomScaleNormal="44" workbookViewId="0">
      <selection activeCell="A1" sqref="A1:B31"/>
    </sheetView>
  </sheetViews>
  <sheetFormatPr defaultColWidth="9" defaultRowHeight="14.4" outlineLevelCol="3"/>
  <cols>
    <col min="1" max="2" width="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3001</v>
      </c>
    </row>
    <row r="3" spans="1:2">
      <c r="A3" t="s">
        <v>3</v>
      </c>
      <c r="B3">
        <v>5156</v>
      </c>
    </row>
    <row r="4" spans="1:4">
      <c r="A4" t="s">
        <v>4</v>
      </c>
      <c r="B4">
        <v>5060</v>
      </c>
      <c r="D4" s="5"/>
    </row>
    <row r="5" spans="1:2">
      <c r="A5" t="s">
        <v>5</v>
      </c>
      <c r="B5">
        <v>9438</v>
      </c>
    </row>
    <row r="6" spans="1:2">
      <c r="A6" t="s">
        <v>6</v>
      </c>
      <c r="B6">
        <v>8194</v>
      </c>
    </row>
    <row r="7" spans="1:2">
      <c r="A7" t="s">
        <v>2</v>
      </c>
      <c r="B7">
        <v>4472</v>
      </c>
    </row>
    <row r="8" spans="1:2">
      <c r="A8" t="s">
        <v>3</v>
      </c>
      <c r="B8">
        <v>8074</v>
      </c>
    </row>
    <row r="9" spans="1:2">
      <c r="A9" t="s">
        <v>4</v>
      </c>
      <c r="B9">
        <v>5502</v>
      </c>
    </row>
    <row r="10" spans="1:2">
      <c r="A10" t="s">
        <v>5</v>
      </c>
      <c r="B10">
        <v>8654</v>
      </c>
    </row>
    <row r="11" spans="1:2">
      <c r="A11" t="s">
        <v>6</v>
      </c>
      <c r="B11">
        <v>9512</v>
      </c>
    </row>
    <row r="12" spans="1:2">
      <c r="A12" t="s">
        <v>2</v>
      </c>
      <c r="B12">
        <v>9007</v>
      </c>
    </row>
    <row r="13" spans="1:2">
      <c r="A13" t="s">
        <v>3</v>
      </c>
      <c r="B13">
        <v>8472</v>
      </c>
    </row>
    <row r="14" spans="1:2">
      <c r="A14" t="s">
        <v>4</v>
      </c>
      <c r="B14">
        <v>5961</v>
      </c>
    </row>
    <row r="15" spans="1:2">
      <c r="A15" t="s">
        <v>5</v>
      </c>
      <c r="B15">
        <v>6649</v>
      </c>
    </row>
    <row r="16" spans="1:2">
      <c r="A16" t="s">
        <v>6</v>
      </c>
      <c r="B16">
        <v>5118</v>
      </c>
    </row>
    <row r="17" spans="1:2">
      <c r="A17" t="s">
        <v>2</v>
      </c>
      <c r="B17">
        <v>6769</v>
      </c>
    </row>
    <row r="18" spans="1:2">
      <c r="A18" t="s">
        <v>3</v>
      </c>
      <c r="B18">
        <v>1206</v>
      </c>
    </row>
    <row r="19" spans="1:2">
      <c r="A19" t="s">
        <v>4</v>
      </c>
      <c r="B19">
        <v>1851</v>
      </c>
    </row>
    <row r="20" spans="1:2">
      <c r="A20" t="s">
        <v>5</v>
      </c>
      <c r="B20">
        <v>5455</v>
      </c>
    </row>
    <row r="21" spans="1:2">
      <c r="A21" t="s">
        <v>6</v>
      </c>
      <c r="B21">
        <v>6936</v>
      </c>
    </row>
    <row r="22" spans="1:2">
      <c r="A22" t="s">
        <v>2</v>
      </c>
      <c r="B22">
        <v>7573</v>
      </c>
    </row>
    <row r="23" spans="1:2">
      <c r="A23" t="s">
        <v>3</v>
      </c>
      <c r="B23">
        <v>7302</v>
      </c>
    </row>
    <row r="24" spans="1:2">
      <c r="A24" t="s">
        <v>4</v>
      </c>
      <c r="B24">
        <v>9346</v>
      </c>
    </row>
    <row r="25" spans="1:2">
      <c r="A25" t="s">
        <v>5</v>
      </c>
      <c r="B25">
        <v>1271</v>
      </c>
    </row>
    <row r="26" spans="1:2">
      <c r="A26" t="s">
        <v>6</v>
      </c>
      <c r="B26">
        <v>5085</v>
      </c>
    </row>
    <row r="27" spans="1:2">
      <c r="A27" t="s">
        <v>2</v>
      </c>
      <c r="B27">
        <v>1532</v>
      </c>
    </row>
    <row r="28" spans="1:2">
      <c r="A28" t="s">
        <v>3</v>
      </c>
      <c r="B28">
        <v>5083</v>
      </c>
    </row>
    <row r="29" spans="1:2">
      <c r="A29" t="s">
        <v>4</v>
      </c>
      <c r="B29">
        <v>9581</v>
      </c>
    </row>
    <row r="30" spans="1:2">
      <c r="A30" t="s">
        <v>5</v>
      </c>
      <c r="B30">
        <v>5844</v>
      </c>
    </row>
    <row r="31" spans="1:2">
      <c r="A31" t="s">
        <v>6</v>
      </c>
      <c r="B31">
        <v>7075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zoomScale="63" zoomScaleNormal="63" workbookViewId="0">
      <selection activeCell="L4" sqref="L4"/>
    </sheetView>
  </sheetViews>
  <sheetFormatPr defaultColWidth="8.87962962962963" defaultRowHeight="14.4"/>
  <cols>
    <col min="1" max="1" width="11.6666666666667"/>
    <col min="2" max="3" width="22"/>
    <col min="7" max="7" width="11.6666666666667"/>
    <col min="8" max="8" width="15"/>
    <col min="9" max="10" width="9.5"/>
    <col min="11" max="11" width="13.7777777777778"/>
    <col min="12" max="12" width="22.1111111111111"/>
    <col min="13" max="13" width="21"/>
    <col min="14" max="14" width="11.6296296296296"/>
    <col min="15" max="16" width="22"/>
    <col min="17" max="19" width="9.5"/>
    <col min="20" max="20" width="11.6666666666667"/>
    <col min="21" max="21" width="16.8888888888889"/>
    <col min="22" max="22" width="16.8796296296296"/>
  </cols>
  <sheetData>
    <row r="1" spans="11:12">
      <c r="K1" t="s">
        <v>7</v>
      </c>
      <c r="L1" t="s">
        <v>8</v>
      </c>
    </row>
    <row r="2" spans="11:12">
      <c r="K2" t="s">
        <v>2</v>
      </c>
      <c r="L2">
        <v>15044</v>
      </c>
    </row>
    <row r="3" spans="1:14">
      <c r="A3" t="s">
        <v>9</v>
      </c>
      <c r="B3" t="s">
        <v>10</v>
      </c>
      <c r="C3" t="s">
        <v>8</v>
      </c>
      <c r="K3" t="s">
        <v>3</v>
      </c>
      <c r="L3">
        <v>16083</v>
      </c>
      <c r="N3" s="6"/>
    </row>
    <row r="4" spans="1:14">
      <c r="A4" t="s">
        <v>11</v>
      </c>
      <c r="B4">
        <v>3001</v>
      </c>
      <c r="C4">
        <v>5135</v>
      </c>
      <c r="K4" t="s">
        <v>4</v>
      </c>
      <c r="L4">
        <v>9693</v>
      </c>
      <c r="N4" s="6"/>
    </row>
    <row r="5" spans="1:14">
      <c r="A5" s="6">
        <v>46054</v>
      </c>
      <c r="B5">
        <v>5156</v>
      </c>
      <c r="C5">
        <v>5010</v>
      </c>
      <c r="G5" t="s">
        <v>9</v>
      </c>
      <c r="H5" t="s">
        <v>12</v>
      </c>
      <c r="K5" t="s">
        <v>5</v>
      </c>
      <c r="L5">
        <v>4842</v>
      </c>
      <c r="N5" s="6"/>
    </row>
    <row r="6" spans="1:14">
      <c r="A6" s="6">
        <v>46082</v>
      </c>
      <c r="B6">
        <v>5060</v>
      </c>
      <c r="C6">
        <v>5245</v>
      </c>
      <c r="G6" t="s">
        <v>11</v>
      </c>
      <c r="H6">
        <v>24865</v>
      </c>
      <c r="K6" t="s">
        <v>6</v>
      </c>
      <c r="L6">
        <v>9115</v>
      </c>
      <c r="N6" s="6"/>
    </row>
    <row r="7" spans="1:14">
      <c r="A7" s="6">
        <v>46113</v>
      </c>
      <c r="B7">
        <v>9438</v>
      </c>
      <c r="C7">
        <v>202</v>
      </c>
      <c r="G7" s="6">
        <v>46054</v>
      </c>
      <c r="H7">
        <v>24990</v>
      </c>
      <c r="K7" t="s">
        <v>13</v>
      </c>
      <c r="L7">
        <v>54777</v>
      </c>
      <c r="N7" s="6"/>
    </row>
    <row r="8" spans="1:14">
      <c r="A8" s="6">
        <v>46143</v>
      </c>
      <c r="B8">
        <v>8194</v>
      </c>
      <c r="C8">
        <v>4149</v>
      </c>
      <c r="G8" s="6">
        <v>46082</v>
      </c>
      <c r="H8">
        <v>24755</v>
      </c>
      <c r="N8" s="6"/>
    </row>
    <row r="9" spans="1:14">
      <c r="A9" s="6">
        <v>46174</v>
      </c>
      <c r="B9">
        <v>4472</v>
      </c>
      <c r="C9">
        <v>1910</v>
      </c>
      <c r="G9" s="6">
        <v>46113</v>
      </c>
      <c r="H9">
        <v>29798</v>
      </c>
      <c r="N9" s="6"/>
    </row>
    <row r="10" spans="1:14">
      <c r="A10" s="6">
        <v>46204</v>
      </c>
      <c r="B10">
        <v>8074</v>
      </c>
      <c r="C10">
        <v>6356</v>
      </c>
      <c r="G10" s="6">
        <v>46143</v>
      </c>
      <c r="H10">
        <v>25851</v>
      </c>
      <c r="N10" s="6"/>
    </row>
    <row r="11" spans="1:14">
      <c r="A11" s="6">
        <v>46235</v>
      </c>
      <c r="B11">
        <v>5502</v>
      </c>
      <c r="C11">
        <v>4448</v>
      </c>
      <c r="G11" s="6">
        <v>46174</v>
      </c>
      <c r="H11">
        <v>28090</v>
      </c>
      <c r="N11" s="6"/>
    </row>
    <row r="12" spans="1:14">
      <c r="A12" s="6">
        <v>46266</v>
      </c>
      <c r="B12">
        <v>8654</v>
      </c>
      <c r="C12">
        <v>4640</v>
      </c>
      <c r="G12" s="6">
        <v>46204</v>
      </c>
      <c r="H12">
        <v>23644</v>
      </c>
      <c r="N12" s="6"/>
    </row>
    <row r="13" spans="1:14">
      <c r="A13" s="6">
        <v>46296</v>
      </c>
      <c r="B13">
        <v>9512</v>
      </c>
      <c r="C13">
        <v>4966</v>
      </c>
      <c r="G13" s="6">
        <v>46235</v>
      </c>
      <c r="H13">
        <v>25552</v>
      </c>
      <c r="N13" s="6"/>
    </row>
    <row r="14" spans="1:8">
      <c r="A14" s="6">
        <v>46327</v>
      </c>
      <c r="B14">
        <v>9007</v>
      </c>
      <c r="C14">
        <v>7999</v>
      </c>
      <c r="G14" s="6">
        <v>46266</v>
      </c>
      <c r="H14">
        <v>25360</v>
      </c>
    </row>
    <row r="15" spans="1:8">
      <c r="A15" s="6">
        <v>46357</v>
      </c>
      <c r="B15">
        <v>8472</v>
      </c>
      <c r="C15">
        <v>4717</v>
      </c>
      <c r="G15" s="6">
        <v>46296</v>
      </c>
      <c r="H15">
        <v>25034</v>
      </c>
    </row>
    <row r="16" spans="1:8">
      <c r="A16" t="s">
        <v>13</v>
      </c>
      <c r="B16">
        <v>84542</v>
      </c>
      <c r="C16">
        <v>54777</v>
      </c>
      <c r="G16" s="6">
        <v>46327</v>
      </c>
      <c r="H16">
        <v>22001</v>
      </c>
    </row>
    <row r="17" spans="7:8">
      <c r="G17" s="6">
        <v>46357</v>
      </c>
      <c r="H17">
        <v>25283</v>
      </c>
    </row>
    <row r="18" spans="7:8">
      <c r="G18" t="s">
        <v>13</v>
      </c>
      <c r="H18">
        <v>305223</v>
      </c>
    </row>
    <row r="21" spans="20:21">
      <c r="T21" t="s">
        <v>9</v>
      </c>
      <c r="U21" t="s">
        <v>14</v>
      </c>
    </row>
    <row r="22" spans="20:21">
      <c r="T22" t="s">
        <v>11</v>
      </c>
      <c r="U22">
        <v>-2134</v>
      </c>
    </row>
    <row r="23" spans="20:21">
      <c r="T23" s="6">
        <v>46054</v>
      </c>
      <c r="U23">
        <v>146</v>
      </c>
    </row>
    <row r="24" spans="20:21">
      <c r="T24" s="6">
        <v>46082</v>
      </c>
      <c r="U24">
        <v>-185</v>
      </c>
    </row>
    <row r="25" spans="20:21">
      <c r="T25" s="6">
        <v>46113</v>
      </c>
      <c r="U25">
        <v>9236</v>
      </c>
    </row>
    <row r="26" spans="20:21">
      <c r="T26" s="6">
        <v>46143</v>
      </c>
      <c r="U26">
        <v>4045</v>
      </c>
    </row>
    <row r="27" spans="20:21">
      <c r="T27" s="6">
        <v>46174</v>
      </c>
      <c r="U27">
        <v>2562</v>
      </c>
    </row>
    <row r="28" spans="20:21">
      <c r="T28" s="6">
        <v>46204</v>
      </c>
      <c r="U28">
        <v>1718</v>
      </c>
    </row>
    <row r="29" spans="20:21">
      <c r="T29" s="6">
        <v>46235</v>
      </c>
      <c r="U29">
        <v>1054</v>
      </c>
    </row>
    <row r="30" spans="20:21">
      <c r="T30" s="6">
        <v>46266</v>
      </c>
      <c r="U30">
        <v>4014</v>
      </c>
    </row>
    <row r="31" spans="20:21">
      <c r="T31" s="6">
        <v>46296</v>
      </c>
      <c r="U31">
        <v>4546</v>
      </c>
    </row>
    <row r="32" spans="20:21">
      <c r="T32" s="6">
        <v>46327</v>
      </c>
      <c r="U32">
        <v>1008</v>
      </c>
    </row>
    <row r="33" spans="20:21">
      <c r="T33" s="6">
        <v>46357</v>
      </c>
      <c r="U33">
        <v>3755</v>
      </c>
    </row>
    <row r="34" spans="20:21">
      <c r="T34" t="s">
        <v>13</v>
      </c>
      <c r="U34">
        <v>29765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zoomScale="86" zoomScaleNormal="86" workbookViewId="0">
      <selection activeCell="I2" sqref="I2"/>
    </sheetView>
  </sheetViews>
  <sheetFormatPr defaultColWidth="9" defaultRowHeight="14.4"/>
  <cols>
    <col min="1" max="5" width="20" customWidth="1"/>
    <col min="6" max="6" width="15.75" customWidth="1"/>
    <col min="7" max="7" width="20.6296296296296" customWidth="1"/>
    <col min="8" max="8" width="16.25" customWidth="1"/>
    <col min="9" max="9" width="13.25" customWidth="1"/>
    <col min="10" max="10" width="18.75" customWidth="1"/>
    <col min="12" max="12" width="14.25" customWidth="1"/>
  </cols>
  <sheetData>
    <row r="1" spans="1:12">
      <c r="A1" s="1" t="s">
        <v>9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7</v>
      </c>
      <c r="G1" s="1" t="s">
        <v>1</v>
      </c>
      <c r="H1" s="1" t="s">
        <v>6</v>
      </c>
      <c r="I1" s="1" t="s">
        <v>18</v>
      </c>
      <c r="J1" s="1" t="s">
        <v>19</v>
      </c>
      <c r="L1" t="s">
        <v>20</v>
      </c>
    </row>
    <row r="2" spans="1:12">
      <c r="A2" t="s">
        <v>11</v>
      </c>
      <c r="B2" t="s">
        <v>2</v>
      </c>
      <c r="C2" s="2">
        <v>30000</v>
      </c>
      <c r="D2" t="s">
        <v>21</v>
      </c>
      <c r="E2" s="3">
        <v>5135</v>
      </c>
      <c r="F2" t="s">
        <v>2</v>
      </c>
      <c r="G2" s="3">
        <v>3001</v>
      </c>
      <c r="H2" s="3">
        <f t="shared" ref="H2:H13" si="0">C2-E2</f>
        <v>24865</v>
      </c>
      <c r="I2" s="3">
        <f t="shared" ref="I2:I13" si="1">G2-E2</f>
        <v>-2134</v>
      </c>
      <c r="J2" s="5" t="str">
        <f t="shared" ref="J2:J13" si="2">IF(I2&gt;0,"Underspent","Overspend")</f>
        <v>Overspend</v>
      </c>
      <c r="L2" t="s">
        <v>22</v>
      </c>
    </row>
    <row r="3" spans="1:14">
      <c r="A3" s="4">
        <v>46054</v>
      </c>
      <c r="B3" t="s">
        <v>3</v>
      </c>
      <c r="C3" s="2">
        <v>30000</v>
      </c>
      <c r="D3" t="s">
        <v>23</v>
      </c>
      <c r="E3" s="3">
        <v>5010</v>
      </c>
      <c r="F3" t="s">
        <v>3</v>
      </c>
      <c r="G3" s="3">
        <v>5156</v>
      </c>
      <c r="H3" s="3">
        <f t="shared" si="0"/>
        <v>24990</v>
      </c>
      <c r="I3" s="3">
        <f t="shared" si="1"/>
        <v>146</v>
      </c>
      <c r="J3" s="5" t="str">
        <f t="shared" si="2"/>
        <v>Underspent</v>
      </c>
      <c r="L3" s="5">
        <f>SUM(G2:G13)</f>
        <v>84542</v>
      </c>
      <c r="N3" s="5"/>
    </row>
    <row r="4" spans="1:12">
      <c r="A4" s="4">
        <v>46082</v>
      </c>
      <c r="B4" t="s">
        <v>4</v>
      </c>
      <c r="C4" s="2">
        <v>30000</v>
      </c>
      <c r="D4" t="s">
        <v>24</v>
      </c>
      <c r="E4" s="3">
        <v>5245</v>
      </c>
      <c r="F4" t="s">
        <v>4</v>
      </c>
      <c r="G4" s="3">
        <v>5060</v>
      </c>
      <c r="H4" s="3">
        <f t="shared" si="0"/>
        <v>24755</v>
      </c>
      <c r="I4" s="3">
        <f t="shared" si="1"/>
        <v>-185</v>
      </c>
      <c r="J4" s="5" t="str">
        <f t="shared" si="2"/>
        <v>Overspend</v>
      </c>
      <c r="L4" s="5" t="s">
        <v>25</v>
      </c>
    </row>
    <row r="5" spans="1:12">
      <c r="A5" s="4">
        <v>46113</v>
      </c>
      <c r="B5" t="s">
        <v>5</v>
      </c>
      <c r="C5" s="2">
        <v>30000</v>
      </c>
      <c r="D5" t="s">
        <v>26</v>
      </c>
      <c r="E5" s="3">
        <v>202</v>
      </c>
      <c r="F5" t="s">
        <v>5</v>
      </c>
      <c r="G5" s="3">
        <v>9438</v>
      </c>
      <c r="H5" s="3">
        <f t="shared" si="0"/>
        <v>29798</v>
      </c>
      <c r="I5" s="3">
        <f t="shared" si="1"/>
        <v>9236</v>
      </c>
      <c r="J5" s="5" t="str">
        <f t="shared" si="2"/>
        <v>Underspent</v>
      </c>
      <c r="L5" s="5">
        <f>SUM(E2:E13)</f>
        <v>54777</v>
      </c>
    </row>
    <row r="6" spans="1:12">
      <c r="A6" s="4">
        <v>46143</v>
      </c>
      <c r="B6" t="s">
        <v>6</v>
      </c>
      <c r="C6" s="2">
        <v>30000</v>
      </c>
      <c r="D6" t="s">
        <v>27</v>
      </c>
      <c r="E6" s="3">
        <v>4149</v>
      </c>
      <c r="F6" t="s">
        <v>6</v>
      </c>
      <c r="G6" s="3">
        <v>8194</v>
      </c>
      <c r="H6" s="3">
        <f t="shared" si="0"/>
        <v>25851</v>
      </c>
      <c r="I6" s="3">
        <f t="shared" si="1"/>
        <v>4045</v>
      </c>
      <c r="J6" s="5" t="str">
        <f t="shared" si="2"/>
        <v>Underspent</v>
      </c>
      <c r="L6" s="5" t="s">
        <v>28</v>
      </c>
    </row>
    <row r="7" spans="1:12">
      <c r="A7" s="4">
        <v>46174</v>
      </c>
      <c r="B7" t="s">
        <v>2</v>
      </c>
      <c r="C7" s="2">
        <v>30000</v>
      </c>
      <c r="D7" t="s">
        <v>21</v>
      </c>
      <c r="E7" s="3">
        <v>1910</v>
      </c>
      <c r="F7" t="s">
        <v>2</v>
      </c>
      <c r="G7" s="3">
        <v>4472</v>
      </c>
      <c r="H7" s="3">
        <f t="shared" si="0"/>
        <v>28090</v>
      </c>
      <c r="I7" s="3">
        <f t="shared" si="1"/>
        <v>2562</v>
      </c>
      <c r="J7" s="5" t="str">
        <f t="shared" si="2"/>
        <v>Underspent</v>
      </c>
      <c r="L7" s="5">
        <f>SUM(H2:H13)</f>
        <v>305223</v>
      </c>
    </row>
    <row r="8" spans="1:12">
      <c r="A8" s="4">
        <v>46204</v>
      </c>
      <c r="B8" t="s">
        <v>3</v>
      </c>
      <c r="C8" s="2">
        <v>30000</v>
      </c>
      <c r="D8" t="s">
        <v>23</v>
      </c>
      <c r="E8" s="3">
        <v>6356</v>
      </c>
      <c r="F8" t="s">
        <v>3</v>
      </c>
      <c r="G8" s="3">
        <v>8074</v>
      </c>
      <c r="H8" s="3">
        <f t="shared" si="0"/>
        <v>23644</v>
      </c>
      <c r="I8" s="3">
        <f t="shared" si="1"/>
        <v>1718</v>
      </c>
      <c r="J8" s="5" t="str">
        <f t="shared" si="2"/>
        <v>Underspent</v>
      </c>
      <c r="L8" t="s">
        <v>29</v>
      </c>
    </row>
    <row r="9" spans="1:12">
      <c r="A9" s="4">
        <v>46235</v>
      </c>
      <c r="B9" t="s">
        <v>4</v>
      </c>
      <c r="C9" s="2">
        <v>30000</v>
      </c>
      <c r="D9" t="s">
        <v>24</v>
      </c>
      <c r="E9" s="3">
        <v>4448</v>
      </c>
      <c r="F9" t="s">
        <v>4</v>
      </c>
      <c r="G9" s="3">
        <v>5502</v>
      </c>
      <c r="H9" s="3">
        <f t="shared" si="0"/>
        <v>25552</v>
      </c>
      <c r="I9" s="3">
        <f t="shared" si="1"/>
        <v>1054</v>
      </c>
      <c r="J9" s="5" t="str">
        <f t="shared" si="2"/>
        <v>Underspent</v>
      </c>
      <c r="L9">
        <f>SUM(12*30000)</f>
        <v>360000</v>
      </c>
    </row>
    <row r="10" spans="1:12">
      <c r="A10" s="4">
        <v>46266</v>
      </c>
      <c r="B10" t="s">
        <v>5</v>
      </c>
      <c r="C10" s="2">
        <v>30000</v>
      </c>
      <c r="D10" t="s">
        <v>26</v>
      </c>
      <c r="E10" s="3">
        <v>4640</v>
      </c>
      <c r="F10" t="s">
        <v>5</v>
      </c>
      <c r="G10" s="3">
        <v>8654</v>
      </c>
      <c r="H10" s="3">
        <f t="shared" si="0"/>
        <v>25360</v>
      </c>
      <c r="I10" s="3">
        <f t="shared" si="1"/>
        <v>4014</v>
      </c>
      <c r="J10" s="5" t="str">
        <f t="shared" si="2"/>
        <v>Underspent</v>
      </c>
      <c r="L10" t="s">
        <v>30</v>
      </c>
    </row>
    <row r="11" spans="1:12">
      <c r="A11" s="4">
        <v>46296</v>
      </c>
      <c r="B11" t="s">
        <v>6</v>
      </c>
      <c r="C11" s="2">
        <v>30000</v>
      </c>
      <c r="D11" t="s">
        <v>27</v>
      </c>
      <c r="E11" s="3">
        <v>4966</v>
      </c>
      <c r="F11" t="s">
        <v>6</v>
      </c>
      <c r="G11" s="3">
        <v>9512</v>
      </c>
      <c r="H11" s="3">
        <f t="shared" si="0"/>
        <v>25034</v>
      </c>
      <c r="I11" s="3">
        <f t="shared" si="1"/>
        <v>4546</v>
      </c>
      <c r="J11" s="5" t="str">
        <f t="shared" si="2"/>
        <v>Underspent</v>
      </c>
      <c r="L11" s="5">
        <f>SUM(I2:I13)</f>
        <v>29765</v>
      </c>
    </row>
    <row r="12" spans="1:10">
      <c r="A12" s="4">
        <v>46327</v>
      </c>
      <c r="B12" t="s">
        <v>2</v>
      </c>
      <c r="C12" s="2">
        <v>30000</v>
      </c>
      <c r="D12" t="s">
        <v>21</v>
      </c>
      <c r="E12" s="3">
        <v>7999</v>
      </c>
      <c r="F12" t="s">
        <v>2</v>
      </c>
      <c r="G12" s="3">
        <v>9007</v>
      </c>
      <c r="H12" s="3">
        <f t="shared" si="0"/>
        <v>22001</v>
      </c>
      <c r="I12" s="3">
        <f t="shared" si="1"/>
        <v>1008</v>
      </c>
      <c r="J12" s="5" t="str">
        <f t="shared" si="2"/>
        <v>Underspent</v>
      </c>
    </row>
    <row r="13" spans="1:10">
      <c r="A13" s="4">
        <v>46357</v>
      </c>
      <c r="B13" t="s">
        <v>3</v>
      </c>
      <c r="C13" s="2">
        <v>30000</v>
      </c>
      <c r="D13" t="s">
        <v>23</v>
      </c>
      <c r="E13" s="3">
        <v>4717</v>
      </c>
      <c r="F13" t="s">
        <v>3</v>
      </c>
      <c r="G13" s="3">
        <v>8472</v>
      </c>
      <c r="H13" s="3">
        <f t="shared" si="0"/>
        <v>25283</v>
      </c>
      <c r="I13" s="3">
        <f t="shared" si="1"/>
        <v>3755</v>
      </c>
      <c r="J13" s="5" t="str">
        <f t="shared" si="2"/>
        <v>Underspent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43" zoomScaleNormal="43" workbookViewId="0">
      <selection activeCell="AJ24" sqref="AJ24"/>
    </sheetView>
  </sheetViews>
  <sheetFormatPr defaultColWidth="8.87962962962963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Budget</vt:lpstr>
      <vt:lpstr>Sheet2</vt:lpstr>
      <vt:lpstr>Transactions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2026-01-17T11:56:00Z</dcterms:created>
  <dcterms:modified xsi:type="dcterms:W3CDTF">2026-01-20T01:49:28Z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CE85141F4AFB40358FD51B93FFE1EE52_12</vt:lpwstr>
  </property>
  <property fmtid="{D5CDD505-2E9C-101B-9397-08002B2CF9AE}" pid="3" name="KSOProductBuildVer">
    <vt:lpwstr>2057-12.2.0.23197</vt:lpwstr>
  </property>
</Properties>
</file>